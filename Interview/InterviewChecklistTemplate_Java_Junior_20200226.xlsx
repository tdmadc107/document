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0" yWindow="0" windowWidth="17280" windowHeight="8550" firstSheet="1" activeTab="2"/>
  </bookViews>
  <sheets>
    <sheet name="Senior" sheetId="1" state="hidden" r:id="rId1"/>
    <sheet name="Guideline" sheetId="13" r:id="rId2"/>
    <sheet name="InterviewCheckList" sheetId="4" r:id="rId3"/>
    <sheet name="Reference" sheetId="2" r:id="rId4"/>
  </sheets>
  <definedNames>
    <definedName name="_xlnm._FilterDatabase" localSheetId="2" hidden="1">InterviewCheckList!#REF!</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P17" i="4" l="1"/>
  <c r="AP29" i="4" l="1"/>
  <c r="AP28" i="4"/>
  <c r="AP18" i="4"/>
  <c r="AP25" i="4"/>
  <c r="AP26" i="4"/>
  <c r="AP27" i="4"/>
  <c r="AP20" i="4"/>
  <c r="AP21" i="4"/>
  <c r="AP22" i="4"/>
  <c r="AP23" i="4"/>
  <c r="AP24" i="4"/>
  <c r="AP19" i="4"/>
  <c r="AI30" i="4" l="1"/>
  <c r="AI31" i="4" s="1"/>
  <c r="AO31" i="4" l="1"/>
  <c r="AN31" i="4"/>
  <c r="AM31" i="4"/>
  <c r="AL31" i="4"/>
  <c r="AK31" i="4"/>
  <c r="AJ31" i="4"/>
  <c r="E1" i="1"/>
  <c r="E9" i="1"/>
  <c r="E8" i="1"/>
  <c r="E7" i="1"/>
  <c r="E6" i="1"/>
  <c r="G6" i="1" s="1"/>
  <c r="E21" i="1"/>
  <c r="E20" i="1"/>
  <c r="E16" i="1"/>
  <c r="E19" i="1"/>
  <c r="G26" i="1"/>
  <c r="E17" i="1"/>
  <c r="E18" i="1"/>
  <c r="E11" i="1"/>
  <c r="G11" i="1" s="1"/>
  <c r="F28" i="1"/>
  <c r="G22" i="1"/>
  <c r="G23" i="1"/>
  <c r="G24" i="1"/>
  <c r="G25" i="1"/>
  <c r="G27" i="1"/>
  <c r="E13" i="1"/>
  <c r="G13" i="1" s="1"/>
  <c r="E10" i="1"/>
  <c r="G10" i="1" s="1"/>
  <c r="E14" i="1" l="1"/>
  <c r="G14" i="1" s="1"/>
  <c r="G12" i="1"/>
  <c r="E28" i="1" l="1"/>
  <c r="E29" i="1" s="1"/>
</calcChain>
</file>

<file path=xl/comments1.xml><?xml version="1.0" encoding="utf-8"?>
<comments xmlns="http://schemas.openxmlformats.org/spreadsheetml/2006/main">
  <authors>
    <author>Author</author>
  </authors>
  <commentList>
    <comment ref="H6" authorId="0" shapeId="0">
      <text>
        <r>
          <rPr>
            <b/>
            <sz val="9"/>
            <color indexed="81"/>
            <rFont val="Tahoma"/>
            <family val="2"/>
          </rPr>
          <t>Guideline: Ghi rõ vị trí ứng tuyển của ứng viên ( ví dụ DEV1, dev2)</t>
        </r>
        <r>
          <rPr>
            <sz val="9"/>
            <color indexed="81"/>
            <rFont val="Tahoma"/>
            <family val="2"/>
          </rPr>
          <t xml:space="preserve">
</t>
        </r>
      </text>
    </comment>
    <comment ref="H12" authorId="0" shapeId="0">
      <text>
        <r>
          <rPr>
            <b/>
            <sz val="9"/>
            <color indexed="81"/>
            <rFont val="Tahoma"/>
            <family val="2"/>
          </rPr>
          <t>ghi rõ tên công ty 1 vào đây</t>
        </r>
      </text>
    </comment>
    <comment ref="Q12" authorId="0" shapeId="0">
      <text>
        <r>
          <rPr>
            <sz val="9"/>
            <color indexed="81"/>
            <rFont val="Tahoma"/>
            <family val="2"/>
          </rPr>
          <t>Ghi chính xác làm ở đây bao lâu; role gì; thảnh tích nổi bật là gì; vì sao nghỉ
Sample: Từ 2015 -&gt; 8/2018, tham gia một số dự án team size lớn, 20 người, làm chủ yếu các module về lock screen, Led cover, quick setting liên quan đến framework. Muốn nghỉ vì làm 3 năm, cần thay đổi môi trường để trải nghiệm hơn</t>
        </r>
      </text>
    </comment>
    <comment ref="H14" authorId="0" shapeId="0">
      <text>
        <r>
          <rPr>
            <b/>
            <sz val="9"/>
            <color indexed="81"/>
            <rFont val="Tahoma"/>
            <family val="2"/>
          </rPr>
          <t>ghi rõ tên công ty 2 vào đây</t>
        </r>
      </text>
    </comment>
    <comment ref="Q14" authorId="0" shapeId="0">
      <text>
        <r>
          <rPr>
            <sz val="9"/>
            <color indexed="81"/>
            <rFont val="Tahoma"/>
            <family val="2"/>
          </rPr>
          <t>Ghi chính xác làm ở đây bao lâu; role gì; thảnh tích nổi bật là gì; vì sao nghỉ
Sample: Từ 2015 -&gt; 8/2018, tham gia một số dự án team size lớn, 20 người, làm chủ yếu các module về lock screen, Led cover, quick setting liên quan đến framework. Muốn nghỉ vì làm 3 năm, cần thay đổi môi trường để trải nghiệm hơn</t>
        </r>
      </text>
    </comment>
    <comment ref="Q19" authorId="0" shapeId="0">
      <text>
        <r>
          <rPr>
            <sz val="9"/>
            <color rgb="FF000000"/>
            <rFont val="Tahoma"/>
            <family val="2"/>
          </rPr>
          <t xml:space="preserve">Interviewer nên cho 1 số ví dụ để xem ứng viên giải quyết như nào
</t>
        </r>
        <r>
          <rPr>
            <sz val="9"/>
            <color rgb="FF000000"/>
            <rFont val="Tahoma"/>
            <family val="2"/>
          </rPr>
          <t>Sample: Tư duy logic tốt, có khả năng tư duy cao, thuật toán tốt, có thể áp dụng các thuật toán vào giải quyết bài toán…</t>
        </r>
      </text>
    </comment>
    <comment ref="Q20" authorId="0" shapeId="0">
      <text>
        <r>
          <rPr>
            <b/>
            <sz val="9"/>
            <color rgb="FF000000"/>
            <rFont val="Tahoma"/>
            <family val="2"/>
          </rPr>
          <t xml:space="preserve">'- Database Logical Design: 
     </t>
        </r>
        <r>
          <rPr>
            <sz val="9"/>
            <color rgb="FF000000"/>
            <rFont val="Tahoma"/>
            <family val="2"/>
          </rPr>
          <t>+ Có kinh nghiệm design database dựa vào yêu cầu của dự án ko? 
     + Có khả năng phân tích thiết kế databasse theo 1 số chuẩn thông dụng ví dụ 3NF không?
     + Khi thiết kế database có nắm được các thành phần cơ bản không ví dụ: quan hệ 1-1, 1-n, n-n. 
     + Lúc thiết kế có xem xét đến performane không? (gộp hay tách bảng)</t>
        </r>
        <r>
          <rPr>
            <b/>
            <sz val="9"/>
            <color rgb="FF000000"/>
            <rFont val="Tahoma"/>
            <family val="2"/>
          </rPr>
          <t xml:space="preserve">
- Database Physical Design: 
     </t>
        </r>
        <r>
          <rPr>
            <sz val="9"/>
            <color rgb="FF000000"/>
            <rFont val="Tahoma"/>
            <family val="2"/>
          </rPr>
          <t>+ Có kinh nghiệm sử dụng các database admin ko? (để tạo các thành phần physical design...)
- Database Languages: 
     + Có phân biệt được các loại Indexing, produce, function hay ko?
     + Có nắm được các truy vấn cơ bản liên quan đến database: Select, update, join (left join...)
     + Có nắm được SQL optimization không?</t>
        </r>
      </text>
    </comment>
    <comment ref="Q21" authorId="0" shapeId="0">
      <text>
        <r>
          <rPr>
            <sz val="9"/>
            <color rgb="FF000000"/>
            <rFont val="Tahoma"/>
            <family val="2"/>
          </rPr>
          <t xml:space="preserve">Sample: 
- Nắm chắc Java Fundamental, các câu hỏi của căn bản đều trả lời OK
- Làm trong các dự án liên quan đến hệ thống đảm bảo tài sản cho BIDV, cả dự án phát triển lẫn maintenance sau này. Hệ thống này là hệ thống của ngân hàng phát triển từ năm 2004, sử dụng Struts 1 và Hibernate
</t>
        </r>
      </text>
    </comment>
    <comment ref="Q22" authorId="0" shapeId="0">
      <text>
        <r>
          <rPr>
            <sz val="9"/>
            <color indexed="81"/>
            <rFont val="Tahoma"/>
            <family val="2"/>
          </rPr>
          <t>Hỏi về Unit test và debug của ứng viên</t>
        </r>
      </text>
    </comment>
    <comment ref="Q23" authorId="0" shapeId="0">
      <text>
        <r>
          <rPr>
            <sz val="9"/>
            <color rgb="FF000000"/>
            <rFont val="Tahoma"/>
            <family val="2"/>
          </rPr>
          <t>Sample: 
- Struts: kiến thức chắc, trả lời hết các câu hỏi, đã làm nhiều
- Hibernate chủ yếu dùng để thêm/sửa/xóa
- Hibernate caching -&gt; Chưa nắm rõ
- Hibernate loading -&gt; Không nhớ
- Hibernate query -&gt; Trả lời tốt
- Thường xuyên làm việc cùng các tool: Redmine, JIRA</t>
        </r>
      </text>
    </comment>
    <comment ref="Q24" authorId="0" shapeId="0">
      <text>
        <r>
          <rPr>
            <sz val="9"/>
            <color rgb="FF000000"/>
            <rFont val="Tahoma"/>
            <family val="2"/>
          </rPr>
          <t xml:space="preserve">Khả năng break task &amp; Tracking task của bản thân như nào?
</t>
        </r>
      </text>
    </comment>
    <comment ref="Q25" authorId="0" shapeId="0">
      <text>
        <r>
          <rPr>
            <sz val="9"/>
            <color rgb="FF000000"/>
            <rFont val="Tahoma"/>
            <family val="2"/>
          </rPr>
          <t xml:space="preserve">'- Cách viết status report, presentation, information transfering
</t>
        </r>
        <r>
          <rPr>
            <sz val="9"/>
            <color rgb="FF000000"/>
            <rFont val="Tahoma"/>
            <family val="2"/>
          </rPr>
          <t>- Hiểu và apply best practice để viết technical document</t>
        </r>
      </text>
    </comment>
    <comment ref="Q26" authorId="0" shapeId="0">
      <text>
        <r>
          <rPr>
            <b/>
            <sz val="9"/>
            <color rgb="FF000000"/>
            <rFont val="Tahoma"/>
            <family val="2"/>
          </rPr>
          <t>hỏi các problem xảy ra trong dự án và cách xử lý có phù hợp ko</t>
        </r>
        <r>
          <rPr>
            <sz val="9"/>
            <color rgb="FF000000"/>
            <rFont val="Tahoma"/>
            <family val="2"/>
          </rPr>
          <t xml:space="preserve">
</t>
        </r>
      </text>
    </comment>
    <comment ref="Q27" authorId="0" shapeId="0">
      <text>
        <r>
          <rPr>
            <sz val="9"/>
            <color rgb="FF000000"/>
            <rFont val="Tahoma"/>
            <family val="2"/>
          </rPr>
          <t>'- Hỏi cách phối hợp với các thành viên khác trong dự án để đạt được kết quả mong muốn</t>
        </r>
      </text>
    </comment>
    <comment ref="B28" authorId="0" shapeId="0">
      <text>
        <r>
          <rPr>
            <b/>
            <sz val="9"/>
            <color indexed="81"/>
            <rFont val="Tahoma"/>
            <family val="2"/>
          </rPr>
          <t>Author:</t>
        </r>
        <r>
          <rPr>
            <sz val="9"/>
            <color indexed="81"/>
            <rFont val="Tahoma"/>
            <family val="2"/>
          </rPr>
          <t xml:space="preserve">
Trong trường hợp cần 2 ngôn ngữ thì có dấu + bên lề trái, click vào đó sẽ ra ngôn ngữ thứ 2; </t>
        </r>
      </text>
    </comment>
    <comment ref="Q28" authorId="0" shapeId="0">
      <text>
        <r>
          <rPr>
            <b/>
            <sz val="9"/>
            <color indexed="81"/>
            <rFont val="Tahoma"/>
            <family val="2"/>
          </rPr>
          <t>Author:</t>
        </r>
        <r>
          <rPr>
            <sz val="9"/>
            <color indexed="81"/>
            <rFont val="Tahoma"/>
            <family val="2"/>
          </rPr>
          <t xml:space="preserve">
Listening
Sample: Nghe bình thường, cơ bản, có thể hiểu được các tình huống xử lý trong công việc</t>
        </r>
      </text>
    </comment>
    <comment ref="A32" authorId="0" shapeId="0">
      <text>
        <r>
          <rPr>
            <sz val="9"/>
            <color indexed="81"/>
            <rFont val="Tahoma"/>
            <family val="2"/>
          </rPr>
          <t>Điểm bonus cho bất cứ điểm gì đặc biệt của ứng viên: Khả năng ngoại ngữ, các kí thuật phù hợp với dự án/BU…</t>
        </r>
        <r>
          <rPr>
            <b/>
            <sz val="9"/>
            <color indexed="81"/>
            <rFont val="Tahoma"/>
            <family val="2"/>
          </rPr>
          <t xml:space="preserve">
</t>
        </r>
      </text>
    </comment>
    <comment ref="H35" authorId="0" shapeId="0">
      <text>
        <r>
          <rPr>
            <sz val="9"/>
            <color rgb="FF000000"/>
            <rFont val="Tahoma"/>
            <family val="2"/>
          </rPr>
          <t>công việc, vị trí và loại hình dự án mong muốn</t>
        </r>
      </text>
    </comment>
    <comment ref="H36" authorId="0" shapeId="0">
      <text>
        <r>
          <rPr>
            <b/>
            <sz val="9"/>
            <color indexed="81"/>
            <rFont val="Tahoma"/>
            <family val="2"/>
          </rPr>
          <t>ứng viên có concern gì về dự án, vị trí, lương bổng, nơi làm việc, sếp, thời gian làm việc… không</t>
        </r>
      </text>
    </comment>
    <comment ref="H37" authorId="0" shapeId="0">
      <text>
        <r>
          <rPr>
            <b/>
            <sz val="9"/>
            <color indexed="81"/>
            <rFont val="Tahoma"/>
            <family val="2"/>
          </rPr>
          <t>ứng viên có định hướng như thế nào, vd đi theo hướng quản lý, đi theo hướng chuyên gia...</t>
        </r>
      </text>
    </comment>
    <comment ref="H38" authorId="0" shapeId="0">
      <text>
        <r>
          <rPr>
            <sz val="9"/>
            <color indexed="81"/>
            <rFont val="Tahoma"/>
            <family val="2"/>
          </rPr>
          <t>Ghi rõ có lên Hòa Lạc được không; Có đi onsite dài hạn/ngắn hạn đc ko;…</t>
        </r>
      </text>
    </comment>
    <comment ref="H39" authorId="0" shapeId="0">
      <text>
        <r>
          <rPr>
            <sz val="9"/>
            <color rgb="FF000000"/>
            <rFont val="Tahoma"/>
            <family val="2"/>
          </rPr>
          <t>Hỏi rõ thời gian out, BUL cuối cùng, Lý do out</t>
        </r>
      </text>
    </comment>
    <comment ref="H40" authorId="0" shapeId="0">
      <text>
        <r>
          <rPr>
            <b/>
            <sz val="9"/>
            <color rgb="FF000000"/>
            <rFont val="Tahoma"/>
            <family val="2"/>
          </rPr>
          <t>Interviewer ghi chú tất cả những đánh giá của mình về ứng viên vào đây</t>
        </r>
      </text>
    </comment>
  </commentList>
</comments>
</file>

<file path=xl/comments2.xml><?xml version="1.0" encoding="utf-8"?>
<comments xmlns="http://schemas.openxmlformats.org/spreadsheetml/2006/main">
  <authors>
    <author>Author</author>
  </authors>
  <commentList>
    <comment ref="B2" authorId="0" shapeId="0">
      <text>
        <r>
          <rPr>
            <sz val="9"/>
            <color indexed="81"/>
            <rFont val="Tahoma"/>
            <family val="2"/>
          </rPr>
          <t>Không biết một chút lý thuyết/kinh nghiệm gì cả</t>
        </r>
      </text>
    </comment>
    <comment ref="B3" authorId="0" shapeId="0">
      <text>
        <r>
          <rPr>
            <sz val="9"/>
            <color indexed="81"/>
            <rFont val="Tahoma"/>
            <family val="2"/>
          </rPr>
          <t xml:space="preserve">Đã có hiểu về lý thuyết </t>
        </r>
      </text>
    </comment>
    <comment ref="B4" authorId="0" shapeId="0">
      <text>
        <r>
          <rPr>
            <sz val="9"/>
            <color indexed="81"/>
            <rFont val="Tahoma"/>
            <family val="2"/>
          </rPr>
          <t>Đã có một ít kinh nghiệm làm việc thực tế, có thể vẫn cần hỗ trợ thêm khi gặp các vấn đề khó</t>
        </r>
      </text>
    </comment>
    <comment ref="B5" authorId="0" shapeId="0">
      <text>
        <r>
          <rPr>
            <sz val="9"/>
            <color indexed="81"/>
            <rFont val="Tahoma"/>
            <family val="2"/>
          </rPr>
          <t xml:space="preserve">Đã có thể làm việc độc lập được, có kinh nghiệm khoảng 2,3 năm
</t>
        </r>
      </text>
    </comment>
    <comment ref="B6" authorId="0" shapeId="0">
      <text>
        <r>
          <rPr>
            <sz val="9"/>
            <color indexed="81"/>
            <rFont val="Tahoma"/>
            <family val="2"/>
          </rPr>
          <t xml:space="preserve">làm leader, các bạn có kiến thức sâu, hiểu chắc, có kinh nghiệm 4--&gt;7 năm
</t>
        </r>
      </text>
    </comment>
    <comment ref="B7" authorId="0" shapeId="0">
      <text>
        <r>
          <rPr>
            <sz val="9"/>
            <color indexed="81"/>
            <rFont val="Tahoma"/>
            <family val="2"/>
          </rPr>
          <t>Chuyên gia</t>
        </r>
      </text>
    </comment>
  </commentList>
</comments>
</file>

<file path=xl/sharedStrings.xml><?xml version="1.0" encoding="utf-8"?>
<sst xmlns="http://schemas.openxmlformats.org/spreadsheetml/2006/main" count="179" uniqueCount="162">
  <si>
    <t>Anh, chị Interviewer vui lòng fill thông tin vào các ô  màu xanh lá cây</t>
    <phoneticPr fontId="17"/>
  </si>
  <si>
    <t>INTERVIEW CHECK LIST</t>
    <phoneticPr fontId="17"/>
  </si>
  <si>
    <t>Candidate name</t>
  </si>
  <si>
    <t>Interviewer name</t>
  </si>
  <si>
    <t>#</t>
  </si>
  <si>
    <t>Category</t>
  </si>
  <si>
    <t>Standard for 10 scores</t>
    <phoneticPr fontId="0"/>
  </si>
  <si>
    <t>Description</t>
  </si>
  <si>
    <t>Score (1~10)</t>
    <phoneticPr fontId="0"/>
  </si>
  <si>
    <t>Rate</t>
    <phoneticPr fontId="0"/>
  </si>
  <si>
    <t>Japanese</t>
  </si>
  <si>
    <t>Listening</t>
  </si>
  <si>
    <t>N3+</t>
  </si>
  <si>
    <t>Speaking</t>
  </si>
  <si>
    <t>Writing</t>
  </si>
  <si>
    <t>Reading</t>
  </si>
  <si>
    <t>English</t>
  </si>
  <si>
    <t>Intermediate</t>
  </si>
  <si>
    <t>Education</t>
  </si>
  <si>
    <t>ĐH</t>
  </si>
  <si>
    <t>Ghi rõ tên tất cả các trường đã TN và năm TN</t>
  </si>
  <si>
    <t>IT Experience</t>
    <phoneticPr fontId="17"/>
  </si>
  <si>
    <t>5~8yrs</t>
  </si>
  <si>
    <r>
      <t>Ghi chính xác số năm kinh nghiệm trong l</t>
    </r>
    <r>
      <rPr>
        <sz val="9"/>
        <rFont val="ＭＳ Ｐゴシック"/>
        <family val="3"/>
        <charset val="128"/>
      </rPr>
      <t>ĩ</t>
    </r>
    <r>
      <rPr>
        <sz val="9"/>
        <rFont val="Tahoma"/>
        <family val="2"/>
      </rPr>
      <t>nh vực IT</t>
    </r>
    <phoneticPr fontId="17"/>
  </si>
  <si>
    <t>Working experience in Japan</t>
  </si>
  <si>
    <t>&lt;1y</t>
  </si>
  <si>
    <t>Ghi chính xác số năm kinh nghiệm làm việc ở Nhật</t>
  </si>
  <si>
    <t>Technical skill 
(Hardskill/ Professionals/ Experience/Techical Skills/ Process)</t>
  </si>
  <si>
    <t>Position</t>
  </si>
  <si>
    <r>
      <rPr>
        <b/>
        <sz val="9"/>
        <rFont val="Tahoma"/>
        <family val="2"/>
      </rPr>
      <t>Ghi rõ position đã làm, số năm kinh nghiệm.</t>
    </r>
    <r>
      <rPr>
        <sz val="9"/>
        <rFont val="Tahoma"/>
        <family val="2"/>
      </rPr>
      <t xml:space="preserve"> </t>
    </r>
    <r>
      <rPr>
        <b/>
        <sz val="9"/>
        <rFont val="Tahoma"/>
        <family val="2"/>
      </rPr>
      <t xml:space="preserve">VD </t>
    </r>
    <r>
      <rPr>
        <sz val="9"/>
        <rFont val="Tahoma"/>
        <family val="2"/>
      </rPr>
      <t>3 năm code, 2 năm test UT, IT,ST, test design, 1 năm PM size 5 members, 1 năm Basic Design bằng tiếng Nhật, 1 năm Detail Design bằng tiếng Anh, 1 năm BA…</t>
    </r>
    <r>
      <rPr>
        <b/>
        <sz val="9"/>
        <rFont val="Tahoma"/>
        <family val="2"/>
      </rPr>
      <t xml:space="preserve"> </t>
    </r>
    <r>
      <rPr>
        <b/>
        <i/>
        <sz val="9"/>
        <rFont val="Tahoma"/>
        <family val="2"/>
      </rPr>
      <t>Các nhận xét khác của interviewer</t>
    </r>
  </si>
  <si>
    <t>Programing Language</t>
  </si>
  <si>
    <r>
      <rPr>
        <b/>
        <sz val="9"/>
        <rFont val="Tahoma"/>
        <family val="2"/>
      </rPr>
      <t>Ghi rõ ngôn ngữ đã làm thật trong dự án và số năm kinh nghiệm</t>
    </r>
    <r>
      <rPr>
        <sz val="9"/>
        <rFont val="Tahoma"/>
        <family val="2"/>
      </rPr>
      <t xml:space="preserve">. 
</t>
    </r>
    <r>
      <rPr>
        <b/>
        <sz val="9"/>
        <rFont val="Tahoma"/>
        <family val="2"/>
      </rPr>
      <t xml:space="preserve">VD 
- Java: Dev3, </t>
    </r>
    <r>
      <rPr>
        <sz val="9"/>
        <rFont val="Tahoma"/>
        <family val="2"/>
      </rPr>
      <t xml:space="preserve">2 năm Java front end Springs,
- </t>
    </r>
    <r>
      <rPr>
        <b/>
        <sz val="9"/>
        <rFont val="Tahoma"/>
        <family val="2"/>
      </rPr>
      <t>dotNET:</t>
    </r>
    <r>
      <rPr>
        <sz val="9"/>
        <rFont val="Tahoma"/>
        <family val="2"/>
      </rPr>
      <t xml:space="preserve"> </t>
    </r>
    <r>
      <rPr>
        <b/>
        <sz val="9"/>
        <rFont val="Tahoma"/>
        <family val="2"/>
      </rPr>
      <t>Dev2</t>
    </r>
    <r>
      <rPr>
        <sz val="9"/>
        <rFont val="Tahoma"/>
        <family val="2"/>
      </rPr>
      <t xml:space="preserve">, 2 năm web
- </t>
    </r>
    <r>
      <rPr>
        <b/>
        <sz val="9"/>
        <rFont val="Tahoma"/>
        <family val="2"/>
      </rPr>
      <t>Python</t>
    </r>
    <r>
      <rPr>
        <sz val="9"/>
        <rFont val="Tahoma"/>
        <family val="2"/>
      </rPr>
      <t xml:space="preserve">: Dev1
- </t>
    </r>
    <r>
      <rPr>
        <b/>
        <sz val="9"/>
        <rFont val="Tahoma"/>
        <family val="2"/>
      </rPr>
      <t>Oracle</t>
    </r>
    <r>
      <rPr>
        <sz val="9"/>
        <rFont val="Tahoma"/>
        <family val="2"/>
      </rPr>
      <t xml:space="preserve"> làm nhiều, MySQL ít. 
</t>
    </r>
    <r>
      <rPr>
        <b/>
        <sz val="9"/>
        <color rgb="FFFF0000"/>
        <rFont val="Tahoma"/>
        <family val="2"/>
      </rPr>
      <t>Ghi rõ kinh nghiệm ở các domain, VD 3 năm Cobol dự án chứng khoán, 2 năm Qt dự án Car Navigation...</t>
    </r>
    <r>
      <rPr>
        <b/>
        <sz val="9"/>
        <rFont val="Tahoma"/>
        <family val="2"/>
      </rPr>
      <t xml:space="preserve">
</t>
    </r>
    <r>
      <rPr>
        <b/>
        <sz val="9"/>
        <color rgb="FF00B0F0"/>
        <rFont val="Tahoma"/>
        <family val="2"/>
      </rPr>
      <t>Ghi rõ khả năng làm được BD, DD, bằng tiếng Nhật hay tiếng Anh, kinh nghiệm bao lâu</t>
    </r>
    <r>
      <rPr>
        <sz val="9"/>
        <rFont val="Tahoma"/>
        <family val="2"/>
      </rPr>
      <t xml:space="preserve">
</t>
    </r>
    <r>
      <rPr>
        <b/>
        <i/>
        <sz val="9"/>
        <rFont val="Tahoma"/>
        <family val="2"/>
      </rPr>
      <t>Các nhận xét khác của interviewer</t>
    </r>
  </si>
  <si>
    <t>Job rank assessed by Interviewer</t>
  </si>
  <si>
    <t>Management - Job rank</t>
  </si>
  <si>
    <t>PM1</t>
  </si>
  <si>
    <t>BrSE- Job rank</t>
  </si>
  <si>
    <t>BrSE0</t>
  </si>
  <si>
    <t>SE/Dev/Test -Job rank</t>
  </si>
  <si>
    <t>Dev3</t>
  </si>
  <si>
    <t>BA/Comtor - Job rank</t>
  </si>
  <si>
    <t>BA1</t>
  </si>
  <si>
    <t>Writing Basic Design by Japanese</t>
  </si>
  <si>
    <t>0 year</t>
  </si>
  <si>
    <t>Writing Detail Design by Japanese</t>
  </si>
  <si>
    <t>Soft Skill</t>
  </si>
  <si>
    <t>Presentation/Communication Skills</t>
  </si>
  <si>
    <t>Ghi rõ nhận xét của interviewer. Thang điểm 10</t>
    <phoneticPr fontId="17"/>
  </si>
  <si>
    <t>Learning Ability/Adaptable Ability</t>
  </si>
  <si>
    <t>Ghi rõ nhận xét của interviewer. Thang điểm 10</t>
  </si>
  <si>
    <t>Ability to handle pressure at work</t>
  </si>
  <si>
    <t>Plus point</t>
    <phoneticPr fontId="17"/>
  </si>
  <si>
    <t>Working location</t>
    <phoneticPr fontId="17"/>
  </si>
  <si>
    <r>
      <t>Làm việc ở vùng nào c</t>
    </r>
    <r>
      <rPr>
        <sz val="9"/>
        <rFont val="ＭＳ Ｐゴシック"/>
        <family val="3"/>
        <charset val="128"/>
      </rPr>
      <t>ũ</t>
    </r>
    <r>
      <rPr>
        <sz val="9"/>
        <rFont val="Tahoma"/>
        <family val="2"/>
      </rPr>
      <t>ng được 10 điểm. Ghi rõ địa điểm có thể làm việc được</t>
    </r>
    <phoneticPr fontId="17"/>
  </si>
  <si>
    <t>Experience of working in FSOFT</t>
    <phoneticPr fontId="17"/>
  </si>
  <si>
    <t>Ghi rõ số năm và chi tiết kinh nghiệm làm việc tại FSOFT</t>
    <phoneticPr fontId="17"/>
  </si>
  <si>
    <t>Valuable skill</t>
    <phoneticPr fontId="17"/>
  </si>
  <si>
    <t>Ghi rõ skil hiếm hoặc khó hoặc có mặt bằng lương cao mà ứng viên sở hữu. VD Python, Ruby, Machine Learning…</t>
    <phoneticPr fontId="17"/>
  </si>
  <si>
    <t>Total score</t>
    <phoneticPr fontId="0"/>
  </si>
  <si>
    <t>Conclusion</t>
  </si>
  <si>
    <t>Reference Information</t>
  </si>
  <si>
    <t>Current resident address</t>
  </si>
  <si>
    <t>Ghi rõ nơi ở hiện tại của ứng viên, vd Đà Nẵng, Nagoya…</t>
  </si>
  <si>
    <t>Visa status</t>
  </si>
  <si>
    <t>Chú ý nếu UV không có bằng ĐH thì phải hỏi có chứng chỉ FE hoặc 10 năm kinh nghiệm IT không?</t>
  </si>
  <si>
    <t xml:space="preserve">Start date </t>
  </si>
  <si>
    <t>Ngày ứng vien có thể bắt đầu làm việc nếu pass</t>
  </si>
  <si>
    <t>Family status</t>
  </si>
  <si>
    <t>Tình trạng gia đình, vd vợ đang đi làm ở Hàn, 2 con ở VN với ông bà</t>
  </si>
  <si>
    <t>Japanese moving expectation</t>
  </si>
  <si>
    <t>Mong muốn sang Nhật bao lâu, vd muốn sang Nhật 3 năm, vợ con vẫn ở VN hoặc muốn định cư cả gia đình tại Nhật…</t>
  </si>
  <si>
    <t>Position exepectation</t>
  </si>
  <si>
    <t>Vị trí mong muốn, vd BrSE theo hướng có offshore hoặc SE focus vào kỹ thuật mới hoặc chỉ muốn làm trong lĩnh vực tài chính…</t>
  </si>
  <si>
    <t>Mức lương mong muốn</t>
  </si>
  <si>
    <t xml:space="preserve">Interview checklist template </t>
  </si>
  <si>
    <t>Overview</t>
  </si>
  <si>
    <t>Links</t>
  </si>
  <si>
    <t>Interview checklist template ,là phiếu đánh ghi lại toàn bộ quá trình phỏng vấn giữa ứng viên và interviewer, đánh giá năng lực ứng viên thông qua các thông  tin đã được phỏng vấn, xếp năng lực ứng viên phù hợp với Job rank của Fsoft</t>
  </si>
  <si>
    <t>1. Interview check list</t>
  </si>
  <si>
    <t>Click here</t>
  </si>
  <si>
    <r>
      <t xml:space="preserve"> Interview check list là các mục bắt buộc phải hỏi và đánh giá khi interviewer thực hiện cuộc phỏng vấn với ứng viên
</t>
    </r>
    <r>
      <rPr>
        <b/>
        <sz val="11"/>
        <color theme="1"/>
        <rFont val="Calibri"/>
        <family val="2"/>
        <scheme val="minor"/>
      </rPr>
      <t>Information</t>
    </r>
    <r>
      <rPr>
        <sz val="11"/>
        <color theme="1"/>
        <rFont val="Calibri"/>
        <family val="2"/>
        <scheme val="minor"/>
      </rPr>
      <t xml:space="preserve"> : Các thông tin cơ bản về ứng viên ( tên, trường,... job ứng tuyển, Rank...)
- Applied Position : Vị trí ứng tuyển( DEV, Test, BA...) interviewer lựachọn trong Box bên cạnh
- Job level : Rank 1, Rank 2, Rank 3… tương đương phân loại rank ứng viền  ( Ví dụ : ứng viên ứng tuyển rank DEV, Rank 1 =&gt; DEV1
</t>
    </r>
    <r>
      <rPr>
        <b/>
        <sz val="11"/>
        <color theme="1"/>
        <rFont val="Calibri"/>
        <family val="2"/>
        <scheme val="minor"/>
      </rPr>
      <t xml:space="preserve">Interview Evaluation: </t>
    </r>
    <r>
      <rPr>
        <sz val="11"/>
        <color theme="1"/>
        <rFont val="Calibri"/>
        <family val="2"/>
        <scheme val="minor"/>
      </rPr>
      <t>Đánh giá cho điểm theo trọng số và xếp job rank cho ứng, kết quả chốt Pass/ fail/ consider
- Rate : Trọng số theo quy định công ty 
- Score : Thang điểm 1 - 10 , interview cho điểm ứng viên theo thang điểm này
- Language : Chọn trong Box hiển thị ngôn ngữ cần đánh giá
- Please select certification : liệt kê các chứng chỉ và các giải thưởng nếu có
- Techical skill : phỏng vấn theo cấu trúc  từ dễ đến khó ( must have , Nice Have ) theo  từng domain
- Job rank assesed : xếp loại ứng viên  tương ứng phù hợp với RAnk của Fsoft (( ví dụ DEV1, DEv2...)
- Total score : điểm sẽ tự động và xếp loại pass/fail/consider</t>
    </r>
  </si>
  <si>
    <t>Reference information</t>
  </si>
  <si>
    <t>- Salary expectation :  Câu hỏi dành riêng cho FWA
- Các Câu hỏi còn lại Interviewer phỏng vấn</t>
  </si>
  <si>
    <r>
      <t xml:space="preserve">2. </t>
    </r>
    <r>
      <rPr>
        <b/>
        <sz val="11"/>
        <color theme="1"/>
        <rFont val="Calibri"/>
        <family val="2"/>
        <scheme val="minor"/>
      </rPr>
      <t>Techinterview</t>
    </r>
    <r>
      <rPr>
        <sz val="11"/>
        <color theme="1"/>
        <rFont val="Calibri"/>
        <family val="2"/>
        <scheme val="minor"/>
      </rPr>
      <t xml:space="preserve">
Interviewer ghi lại câu hỏi và  trả lời của ứng viên trong quá trình phỏng vấn </t>
    </r>
  </si>
  <si>
    <r>
      <t>3.</t>
    </r>
    <r>
      <rPr>
        <b/>
        <sz val="11"/>
        <color theme="1"/>
        <rFont val="Calibri"/>
        <family val="2"/>
        <scheme val="minor"/>
      </rPr>
      <t>InterviewBank</t>
    </r>
    <r>
      <rPr>
        <sz val="11"/>
        <color theme="1"/>
        <rFont val="Calibri"/>
        <family val="2"/>
        <scheme val="minor"/>
      </rPr>
      <t xml:space="preserve">
Ngân hàng câu hỏi cho interviewer tham khảo</t>
    </r>
  </si>
  <si>
    <r>
      <t xml:space="preserve">4. </t>
    </r>
    <r>
      <rPr>
        <b/>
        <sz val="11"/>
        <color theme="1"/>
        <rFont val="Calibri"/>
        <family val="2"/>
        <scheme val="minor"/>
      </rPr>
      <t xml:space="preserve">Certificate list </t>
    </r>
    <r>
      <rPr>
        <sz val="11"/>
        <color theme="1"/>
        <rFont val="Calibri"/>
        <family val="2"/>
        <scheme val="minor"/>
      </rPr>
      <t xml:space="preserve">
List ra các chứng chỉ, bằng cấp và giải thưởng mà ứng viên đạt được</t>
    </r>
  </si>
  <si>
    <t>Interviewer - please input into pink cells</t>
  </si>
  <si>
    <t>RECer - please input into yellow cells</t>
  </si>
  <si>
    <t>Các ô có màu vàng và hồng nghĩa là chưa fill đầy đủ thông tin</t>
  </si>
  <si>
    <t>Information</t>
  </si>
  <si>
    <t>Applied Position</t>
  </si>
  <si>
    <t>Interview Unit</t>
  </si>
  <si>
    <t>Job level</t>
  </si>
  <si>
    <t>Interviewer</t>
    <phoneticPr fontId="17"/>
  </si>
  <si>
    <t>Candidate</t>
    <phoneticPr fontId="17"/>
  </si>
  <si>
    <t>Interview Date</t>
  </si>
  <si>
    <t>Time</t>
  </si>
  <si>
    <t>Date</t>
  </si>
  <si>
    <t>Education</t>
    <phoneticPr fontId="17"/>
  </si>
  <si>
    <t>Graduated scores</t>
    <phoneticPr fontId="17"/>
  </si>
  <si>
    <t>Year of birth</t>
  </si>
  <si>
    <t>Previous companies</t>
    <phoneticPr fontId="17"/>
  </si>
  <si>
    <t>Interview Evaluation</t>
  </si>
  <si>
    <t>#</t>
    <phoneticPr fontId="17"/>
  </si>
  <si>
    <t>Category</t>
    <phoneticPr fontId="17"/>
  </si>
  <si>
    <t>Sub-category</t>
    <phoneticPr fontId="17"/>
  </si>
  <si>
    <t>Detail Evaluation</t>
  </si>
  <si>
    <t>Rate</t>
  </si>
  <si>
    <t>Proficiency</t>
  </si>
  <si>
    <t>Software Technology</t>
  </si>
  <si>
    <t>Logical thinking (Data structure &amp; Algorithm)</t>
  </si>
  <si>
    <t>Soft skill</t>
    <phoneticPr fontId="17"/>
  </si>
  <si>
    <t>Communication</t>
  </si>
  <si>
    <t>Problem solving</t>
  </si>
  <si>
    <t>Teamwork</t>
  </si>
  <si>
    <t>Language</t>
  </si>
  <si>
    <t>English/Japanese</t>
  </si>
  <si>
    <t>Certifications</t>
  </si>
  <si>
    <t>Total score</t>
  </si>
  <si>
    <t>Assessed Job Rank</t>
  </si>
  <si>
    <t>Start date</t>
  </si>
  <si>
    <t>Position expectation</t>
    <phoneticPr fontId="17"/>
  </si>
  <si>
    <t>Candidate concern</t>
    <phoneticPr fontId="17"/>
  </si>
  <si>
    <t>Career path</t>
    <phoneticPr fontId="17"/>
  </si>
  <si>
    <t>Working location</t>
  </si>
  <si>
    <t>FSOFT Experience</t>
  </si>
  <si>
    <t>General Assessment</t>
  </si>
  <si>
    <t>Dev1</t>
  </si>
  <si>
    <t>Dev2</t>
  </si>
  <si>
    <t>Tính điểm</t>
  </si>
  <si>
    <t>Methodology</t>
  </si>
  <si>
    <t>University 2:</t>
  </si>
  <si>
    <t>University 1:</t>
  </si>
  <si>
    <t>Database Fundamental</t>
  </si>
  <si>
    <t>Common framework &amp; development tool: Struts, Spring…</t>
  </si>
  <si>
    <t>Unit Test &amp; Debug</t>
  </si>
  <si>
    <t>Java Core/Fundamental</t>
  </si>
  <si>
    <t>Bonus point</t>
  </si>
  <si>
    <t>Dev0</t>
  </si>
  <si>
    <t>Background</t>
  </si>
  <si>
    <t>Tốt nghiệp trường đại học</t>
  </si>
  <si>
    <t>Điểm GPA</t>
  </si>
  <si>
    <t>Xuất sắc</t>
  </si>
  <si>
    <t>Please select certification/kì thi quốc gia</t>
  </si>
  <si>
    <t>Giỏi</t>
  </si>
  <si>
    <t>- Đạt giải/có chứng chỉ quốc tế: trong các cuộc thi học thuật về lập trình, công nghệ, Olympic Tin học, ACM/ICPC hoặc tham gia đề tài nghiên cứu khoa học Đạt giải từ cấp trường Đại học trở lên.
- Tham gia: vòng Chung kết trong các cuộc thi học thuật về lập trình, công nghệ, Olympic Tin học, ACM/ICPC hoặc tham gia đề tài nghiên cứu khoa học đạt giải từ cấp khoa trở lên
- Không có gì</t>
  </si>
  <si>
    <t>Đạt giải/Có chứng chỉ quốc tế</t>
  </si>
  <si>
    <t>Khá</t>
  </si>
  <si>
    <t>GPA</t>
  </si>
  <si>
    <t>TB</t>
  </si>
  <si>
    <t>Tham gia</t>
  </si>
  <si>
    <t>Không có gì</t>
  </si>
  <si>
    <t>Others</t>
  </si>
  <si>
    <t>&lt;2.8</t>
  </si>
  <si>
    <t>3 --&gt; 4.8</t>
  </si>
  <si>
    <t>&gt;4.8</t>
  </si>
  <si>
    <r>
      <rPr>
        <b/>
        <sz val="11"/>
        <color theme="1"/>
        <rFont val="Times New Roman"/>
        <family val="1"/>
      </rPr>
      <t>Top1:</t>
    </r>
    <r>
      <rPr>
        <sz val="11"/>
        <color theme="1"/>
        <rFont val="Times New Roman"/>
        <family val="1"/>
      </rPr>
      <t xml:space="preserve"> ĐH Bách Khoa HN, ĐH Công nghệ - ĐHQGHN, HV CN Bưu Chính Viễn thông, Đại học FPT, các trường Đại học ở nước ngoài.
</t>
    </r>
    <r>
      <rPr>
        <b/>
        <sz val="11"/>
        <color theme="1"/>
        <rFont val="Times New Roman"/>
        <family val="1"/>
      </rPr>
      <t>Top 2:</t>
    </r>
    <r>
      <rPr>
        <sz val="11"/>
        <color theme="1"/>
        <rFont val="Times New Roman"/>
        <family val="1"/>
      </rPr>
      <t xml:space="preserve"> ĐH Công nghiệp HN, HV Kỹ thuật Quân sự, HV Kỹ thuật Mật mã, ĐH Thủy Lợi, ĐH Giao thông Vận tải, ĐH Hà Nội, ĐH Khoa học tự nhiên – ĐHQGHN, ĐH Mỏ Địa chất, ĐH Điện lực, ĐH Xây dựng, ĐH Mở.</t>
    </r>
  </si>
  <si>
    <t>Junior</t>
  </si>
  <si>
    <t>Top1</t>
  </si>
  <si>
    <t>Top2</t>
  </si>
  <si>
    <r>
      <rPr>
        <b/>
        <sz val="11"/>
        <color theme="1"/>
        <rFont val="Times New Roman"/>
        <family val="1"/>
      </rPr>
      <t>- Xuất sắc</t>
    </r>
    <r>
      <rPr>
        <sz val="11"/>
        <color theme="1"/>
        <rFont val="Times New Roman"/>
        <family val="1"/>
      </rPr>
      <t xml:space="preserve">: 3./4 trở lên
</t>
    </r>
    <r>
      <rPr>
        <b/>
        <sz val="11"/>
        <color theme="1"/>
        <rFont val="Times New Roman"/>
        <family val="1"/>
      </rPr>
      <t xml:space="preserve">- Giỏi: </t>
    </r>
    <r>
      <rPr>
        <sz val="11"/>
        <color theme="1"/>
        <rFont val="Times New Roman"/>
        <family val="1"/>
      </rPr>
      <t xml:space="preserve">3.0 --&gt; 3.4
</t>
    </r>
    <r>
      <rPr>
        <b/>
        <sz val="11"/>
        <color theme="1"/>
        <rFont val="Times New Roman"/>
        <family val="1"/>
      </rPr>
      <t>- Khá:</t>
    </r>
    <r>
      <rPr>
        <sz val="11"/>
        <color theme="1"/>
        <rFont val="Times New Roman"/>
        <family val="1"/>
      </rPr>
      <t xml:space="preserve"> 2.5 --&gt; 3.0
</t>
    </r>
    <r>
      <rPr>
        <b/>
        <sz val="11"/>
        <color theme="1"/>
        <rFont val="Times New Roman"/>
        <family val="1"/>
      </rPr>
      <t xml:space="preserve">- TB: </t>
    </r>
    <r>
      <rPr>
        <sz val="11"/>
        <color theme="1"/>
        <rFont val="Times New Roman"/>
        <family val="1"/>
      </rPr>
      <t>dưới 2.5</t>
    </r>
  </si>
  <si>
    <t>Time Management</t>
  </si>
  <si>
    <t>- Xuất sắc: Toeic &gt;700, hoặc IELTS&gt;6.0, JP: N2
- Giỏi: Toeic &gt;650, hoặc IELTS&gt;5.5, JP: N3
- Khá: Toeic &gt;450, IELTS &gt;5.0, JP: N4
- TB: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</si>
</sst>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0.0%"/>
  </numFmts>
  <fonts count="39">
    <font>
      <sz val="11"/>
      <color theme="1"/>
      <name val="Calibri"/>
      <family val="2"/>
      <scheme val="minor"/>
    </font>
    <font>
      <sz val="11"/>
      <color theme="1"/>
      <name val="Calibri"/>
      <family val="2"/>
      <scheme val="minor"/>
    </font>
    <font>
      <b/>
      <sz val="11"/>
      <color theme="1"/>
      <name val="Calibri"/>
      <family val="2"/>
      <scheme val="minor"/>
    </font>
    <font>
      <sz val="11"/>
      <name val="Tahoma"/>
      <family val="2"/>
    </font>
    <font>
      <sz val="10"/>
      <name val="Tahoma"/>
      <family val="2"/>
    </font>
    <font>
      <b/>
      <sz val="10"/>
      <name val="Tahoma"/>
      <family val="2"/>
    </font>
    <font>
      <b/>
      <sz val="9"/>
      <name val="Tahoma"/>
      <family val="2"/>
    </font>
    <font>
      <sz val="9"/>
      <name val="Tahoma"/>
      <family val="2"/>
    </font>
    <font>
      <b/>
      <sz val="10"/>
      <color rgb="FFFF0000"/>
      <name val="ＭＳ Ｐゴシック"/>
      <family val="3"/>
      <charset val="128"/>
    </font>
    <font>
      <b/>
      <sz val="12"/>
      <name val="Tahoma"/>
      <family val="2"/>
    </font>
    <font>
      <b/>
      <i/>
      <sz val="10"/>
      <color rgb="FFFF0000"/>
      <name val="Tahoma"/>
      <family val="2"/>
    </font>
    <font>
      <b/>
      <i/>
      <sz val="9"/>
      <name val="Tahoma"/>
      <family val="2"/>
    </font>
    <font>
      <b/>
      <sz val="10"/>
      <color rgb="FFFF0000"/>
      <name val="Tahoma"/>
      <family val="2"/>
    </font>
    <font>
      <b/>
      <sz val="9"/>
      <color rgb="FFFF0000"/>
      <name val="Tahoma"/>
      <family val="2"/>
    </font>
    <font>
      <b/>
      <sz val="15"/>
      <color rgb="FFFF0000"/>
      <name val="Tahoma"/>
      <family val="2"/>
    </font>
    <font>
      <b/>
      <sz val="12"/>
      <color rgb="FFFF0000"/>
      <name val="Tahoma"/>
      <family val="2"/>
    </font>
    <font>
      <b/>
      <sz val="9"/>
      <color rgb="FF00B0F0"/>
      <name val="Tahoma"/>
      <family val="2"/>
    </font>
    <font>
      <sz val="6"/>
      <name val="Calibri"/>
      <family val="3"/>
      <charset val="128"/>
      <scheme val="minor"/>
    </font>
    <font>
      <u/>
      <sz val="11"/>
      <color theme="10"/>
      <name val="Calibri"/>
      <family val="2"/>
      <scheme val="minor"/>
    </font>
    <font>
      <sz val="9"/>
      <name val="ＭＳ Ｐゴシック"/>
      <family val="3"/>
      <charset val="128"/>
    </font>
    <font>
      <b/>
      <sz val="12"/>
      <color theme="1"/>
      <name val="Times New Roman"/>
      <family val="1"/>
    </font>
    <font>
      <sz val="12"/>
      <color theme="1"/>
      <name val="Times New Roman"/>
      <family val="1"/>
    </font>
    <font>
      <b/>
      <sz val="11"/>
      <color theme="1"/>
      <name val="Times New Roman"/>
      <family val="1"/>
    </font>
    <font>
      <sz val="11"/>
      <color theme="1"/>
      <name val="Times New Roman"/>
      <family val="1"/>
    </font>
    <font>
      <sz val="9"/>
      <color indexed="81"/>
      <name val="Tahoma"/>
      <family val="2"/>
    </font>
    <font>
      <b/>
      <sz val="9"/>
      <color indexed="81"/>
      <name val="Tahoma"/>
      <family val="2"/>
    </font>
    <font>
      <b/>
      <sz val="18"/>
      <color theme="1"/>
      <name val="Calibri"/>
      <family val="2"/>
      <scheme val="minor"/>
    </font>
    <font>
      <b/>
      <sz val="12"/>
      <color rgb="FFFF0000"/>
      <name val="Times New Roman"/>
      <family val="1"/>
    </font>
    <font>
      <i/>
      <sz val="11"/>
      <color rgb="FF0070C0"/>
      <name val="Times New Roman"/>
      <family val="1"/>
    </font>
    <font>
      <sz val="11"/>
      <name val="Times New Roman"/>
      <family val="1"/>
    </font>
    <font>
      <b/>
      <sz val="11"/>
      <name val="Times New Roman"/>
      <family val="1"/>
    </font>
    <font>
      <sz val="8"/>
      <color rgb="FF2F2F2F"/>
      <name val="Segoe UI"/>
      <family val="2"/>
    </font>
    <font>
      <i/>
      <sz val="12"/>
      <color rgb="FF0070C0"/>
      <name val="Times New Roman"/>
      <family val="1"/>
    </font>
    <font>
      <b/>
      <sz val="20"/>
      <color rgb="FFFF0000"/>
      <name val="Times New Roman"/>
      <family val="1"/>
    </font>
    <font>
      <b/>
      <i/>
      <sz val="11"/>
      <color rgb="FF0070C0"/>
      <name val="Times New Roman"/>
      <family val="1"/>
    </font>
    <font>
      <i/>
      <sz val="12"/>
      <color rgb="FF00B0F0"/>
      <name val="Times New Roman"/>
      <family val="1"/>
    </font>
    <font>
      <b/>
      <sz val="11"/>
      <color theme="0"/>
      <name val="Times New Roman"/>
      <family val="1"/>
    </font>
    <font>
      <sz val="9"/>
      <color rgb="FF000000"/>
      <name val="Tahoma"/>
      <family val="2"/>
    </font>
    <font>
      <b/>
      <sz val="9"/>
      <color rgb="FF000000"/>
      <name val="Tahoma"/>
      <family val="2"/>
    </font>
  </fonts>
  <fills count="1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rgb="FFFFFF99"/>
        <bgColor indexed="64"/>
      </patternFill>
    </fill>
    <fill>
      <patternFill patternType="solid">
        <fgColor rgb="FF00B0F0"/>
        <bgColor indexed="64"/>
      </patternFill>
    </fill>
    <fill>
      <patternFill patternType="solid">
        <fgColor theme="4"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4">
    <xf numFmtId="0" fontId="0" fillId="0" borderId="0"/>
    <xf numFmtId="9" fontId="1" fillId="0" borderId="0" applyFont="0" applyFill="0" applyBorder="0" applyAlignment="0" applyProtection="0"/>
    <xf numFmtId="0" fontId="18" fillId="0" borderId="0" applyNumberFormat="0" applyFill="0" applyBorder="0" applyAlignment="0" applyProtection="0"/>
    <xf numFmtId="43" fontId="1" fillId="0" borderId="0" applyFont="0" applyFill="0" applyBorder="0" applyAlignment="0" applyProtection="0"/>
  </cellStyleXfs>
  <cellXfs count="242">
    <xf numFmtId="0" fontId="0" fillId="0" borderId="0" xfId="0"/>
    <xf numFmtId="0" fontId="3"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center" vertical="center" wrapText="1"/>
    </xf>
    <xf numFmtId="9" fontId="4" fillId="0" borderId="0" xfId="0" applyNumberFormat="1" applyFont="1" applyAlignment="1">
      <alignment horizontal="center" vertical="center" wrapText="1"/>
    </xf>
    <xf numFmtId="0" fontId="3" fillId="0" borderId="0" xfId="0" applyFont="1" applyAlignment="1" applyProtection="1">
      <alignment vertical="center"/>
    </xf>
    <xf numFmtId="0" fontId="4" fillId="0" borderId="0" xfId="0" applyFont="1" applyAlignment="1" applyProtection="1">
      <alignment vertical="center" wrapText="1"/>
    </xf>
    <xf numFmtId="0" fontId="7" fillId="0" borderId="1" xfId="0" applyFont="1" applyFill="1" applyBorder="1" applyAlignment="1" applyProtection="1">
      <alignment vertical="center" wrapText="1"/>
    </xf>
    <xf numFmtId="0" fontId="6" fillId="0" borderId="1" xfId="0" applyFont="1" applyFill="1" applyBorder="1" applyAlignment="1" applyProtection="1">
      <alignment vertical="center" wrapText="1"/>
    </xf>
    <xf numFmtId="9" fontId="5" fillId="0" borderId="1" xfId="1" applyNumberFormat="1" applyFont="1" applyBorder="1" applyAlignment="1" applyProtection="1">
      <alignment horizontal="center" vertical="center" wrapText="1"/>
    </xf>
    <xf numFmtId="0" fontId="6" fillId="0" borderId="1" xfId="0" applyFont="1" applyFill="1" applyBorder="1" applyAlignment="1">
      <alignment horizontal="left" vertical="center" wrapText="1"/>
    </xf>
    <xf numFmtId="0" fontId="7" fillId="3" borderId="1" xfId="0" applyFont="1" applyFill="1" applyBorder="1" applyAlignment="1" applyProtection="1">
      <alignment vertical="top" wrapText="1"/>
    </xf>
    <xf numFmtId="0" fontId="4" fillId="3" borderId="1" xfId="0" applyFont="1" applyFill="1" applyBorder="1" applyAlignment="1" applyProtection="1">
      <alignment horizontal="center" vertical="center" wrapText="1"/>
    </xf>
    <xf numFmtId="0" fontId="10" fillId="0" borderId="0" xfId="0" applyFont="1" applyAlignment="1">
      <alignment horizontal="left" vertical="top"/>
    </xf>
    <xf numFmtId="0" fontId="7" fillId="0" borderId="1" xfId="0" applyFont="1" applyFill="1" applyBorder="1" applyAlignment="1" applyProtection="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7" fillId="0" borderId="1" xfId="0" applyFont="1" applyFill="1" applyBorder="1" applyAlignment="1" applyProtection="1">
      <alignment horizontal="center" vertical="center" wrapText="1"/>
    </xf>
    <xf numFmtId="0" fontId="7" fillId="4" borderId="1" xfId="0" applyFont="1" applyFill="1" applyBorder="1" applyAlignment="1" applyProtection="1">
      <alignment vertical="top" wrapText="1"/>
    </xf>
    <xf numFmtId="0" fontId="12" fillId="5" borderId="1" xfId="0" applyFont="1" applyFill="1" applyBorder="1" applyAlignment="1" applyProtection="1">
      <alignment horizontal="center" vertical="center" wrapText="1"/>
    </xf>
    <xf numFmtId="0" fontId="13" fillId="5" borderId="1" xfId="0" applyFont="1" applyFill="1" applyBorder="1" applyAlignment="1" applyProtection="1">
      <alignment horizontal="center" vertical="center" wrapText="1"/>
    </xf>
    <xf numFmtId="9" fontId="12" fillId="5" borderId="1" xfId="0" applyNumberFormat="1" applyFont="1" applyFill="1" applyBorder="1" applyAlignment="1" applyProtection="1">
      <alignment horizontal="center" vertical="center" wrapText="1"/>
    </xf>
    <xf numFmtId="0" fontId="9" fillId="0" borderId="3" xfId="0" applyFont="1" applyBorder="1" applyAlignment="1" applyProtection="1">
      <alignment vertical="center" wrapText="1"/>
    </xf>
    <xf numFmtId="0" fontId="9" fillId="0" borderId="5" xfId="0" applyFont="1" applyBorder="1" applyAlignment="1" applyProtection="1">
      <alignment vertical="center" wrapText="1"/>
    </xf>
    <xf numFmtId="0" fontId="4" fillId="0" borderId="0" xfId="0" applyFont="1" applyBorder="1" applyAlignment="1" applyProtection="1">
      <alignment horizontal="center" vertical="center" wrapText="1"/>
    </xf>
    <xf numFmtId="0" fontId="0" fillId="0" borderId="0" xfId="0"/>
    <xf numFmtId="0" fontId="23" fillId="0" borderId="0" xfId="0" applyFont="1"/>
    <xf numFmtId="0" fontId="26" fillId="0" borderId="0" xfId="0" applyFont="1" applyAlignment="1">
      <alignment horizontal="center" wrapText="1"/>
    </xf>
    <xf numFmtId="0" fontId="2" fillId="0" borderId="1" xfId="0" applyFont="1" applyBorder="1"/>
    <xf numFmtId="0" fontId="0" fillId="0" borderId="1" xfId="0" applyBorder="1" applyAlignment="1">
      <alignment vertical="top" wrapText="1"/>
    </xf>
    <xf numFmtId="0" fontId="2" fillId="0" borderId="1" xfId="0" applyFont="1" applyBorder="1" applyAlignment="1">
      <alignment wrapText="1"/>
    </xf>
    <xf numFmtId="0" fontId="0" fillId="0" borderId="1" xfId="0" quotePrefix="1" applyBorder="1" applyAlignment="1">
      <alignment vertical="top" wrapText="1"/>
    </xf>
    <xf numFmtId="0" fontId="0" fillId="0" borderId="1" xfId="0" applyBorder="1"/>
    <xf numFmtId="0" fontId="18" fillId="0" borderId="1" xfId="2" applyBorder="1"/>
    <xf numFmtId="0" fontId="0" fillId="0" borderId="1" xfId="0" applyBorder="1" applyAlignment="1">
      <alignment wrapText="1"/>
    </xf>
    <xf numFmtId="2" fontId="23" fillId="0" borderId="0" xfId="0" applyNumberFormat="1" applyFont="1"/>
    <xf numFmtId="2" fontId="23" fillId="0" borderId="8" xfId="1" applyNumberFormat="1" applyFont="1" applyBorder="1" applyAlignment="1"/>
    <xf numFmtId="164" fontId="23" fillId="0" borderId="0" xfId="0" applyNumberFormat="1" applyFont="1"/>
    <xf numFmtId="0" fontId="29" fillId="0" borderId="0" xfId="0" applyFont="1"/>
    <xf numFmtId="0" fontId="31" fillId="0" borderId="0" xfId="0" applyFont="1"/>
    <xf numFmtId="0" fontId="0" fillId="6" borderId="1" xfId="0" applyFill="1" applyBorder="1"/>
    <xf numFmtId="0" fontId="0" fillId="7" borderId="1" xfId="0" applyFill="1" applyBorder="1"/>
    <xf numFmtId="0" fontId="0" fillId="8" borderId="1" xfId="0" applyFill="1" applyBorder="1"/>
    <xf numFmtId="0" fontId="23" fillId="8" borderId="1" xfId="0" applyFont="1" applyFill="1" applyBorder="1"/>
    <xf numFmtId="0" fontId="29" fillId="8" borderId="1" xfId="0" applyFont="1" applyFill="1" applyBorder="1"/>
    <xf numFmtId="0" fontId="23" fillId="0" borderId="0" xfId="0" applyFont="1" applyAlignment="1"/>
    <xf numFmtId="0" fontId="22" fillId="0" borderId="1" xfId="0" applyFont="1" applyFill="1" applyBorder="1" applyAlignment="1">
      <alignment horizontal="center"/>
    </xf>
    <xf numFmtId="9" fontId="4" fillId="0" borderId="1" xfId="0" applyNumberFormat="1" applyFont="1" applyFill="1" applyBorder="1" applyAlignment="1" applyProtection="1">
      <alignment horizontal="center" vertical="center" wrapText="1"/>
    </xf>
    <xf numFmtId="0" fontId="7" fillId="0" borderId="2" xfId="0" applyFont="1" applyFill="1" applyBorder="1" applyAlignment="1" applyProtection="1">
      <alignment horizontal="center" vertical="center" wrapText="1"/>
    </xf>
    <xf numFmtId="0" fontId="5" fillId="0" borderId="1" xfId="0" applyFont="1" applyBorder="1" applyAlignment="1" applyProtection="1">
      <alignment horizontal="center" vertical="center" wrapText="1"/>
    </xf>
    <xf numFmtId="0" fontId="6" fillId="0" borderId="1" xfId="0" applyFont="1" applyFill="1" applyBorder="1" applyAlignment="1" applyProtection="1">
      <alignment horizontal="left" vertical="center" wrapText="1"/>
    </xf>
    <xf numFmtId="0" fontId="22" fillId="0" borderId="2" xfId="0" applyFont="1" applyFill="1" applyBorder="1" applyAlignment="1">
      <alignment horizontal="center" vertical="center"/>
    </xf>
    <xf numFmtId="0" fontId="22" fillId="7" borderId="1" xfId="0" applyFont="1" applyFill="1" applyBorder="1" applyAlignment="1">
      <alignment horizontal="center"/>
    </xf>
    <xf numFmtId="0" fontId="22" fillId="0" borderId="1" xfId="0" applyFont="1" applyFill="1" applyBorder="1" applyAlignment="1">
      <alignment horizontal="center" vertical="center" wrapText="1"/>
    </xf>
    <xf numFmtId="0" fontId="23" fillId="7" borderId="1" xfId="0" applyFont="1" applyFill="1" applyBorder="1" applyAlignment="1">
      <alignment vertical="center"/>
    </xf>
    <xf numFmtId="0" fontId="22" fillId="0" borderId="2" xfId="0" applyFont="1" applyFill="1" applyBorder="1" applyAlignment="1">
      <alignment horizontal="center" vertical="center"/>
    </xf>
    <xf numFmtId="0" fontId="23" fillId="3" borderId="4" xfId="0" applyFont="1" applyFill="1" applyBorder="1" applyAlignment="1">
      <alignment vertical="center" wrapText="1"/>
    </xf>
    <xf numFmtId="0" fontId="23" fillId="3" borderId="5" xfId="0" applyFont="1" applyFill="1" applyBorder="1" applyAlignment="1">
      <alignment vertical="center" wrapText="1"/>
    </xf>
    <xf numFmtId="0" fontId="23" fillId="3" borderId="10" xfId="0" applyFont="1" applyFill="1" applyBorder="1" applyAlignment="1">
      <alignment vertical="center" wrapText="1"/>
    </xf>
    <xf numFmtId="0" fontId="23" fillId="3" borderId="11" xfId="0" applyFont="1" applyFill="1" applyBorder="1" applyAlignment="1">
      <alignment vertical="center" wrapText="1"/>
    </xf>
    <xf numFmtId="43" fontId="23" fillId="0" borderId="0" xfId="3" applyFont="1"/>
    <xf numFmtId="0" fontId="0" fillId="11" borderId="1" xfId="0" applyFill="1" applyBorder="1"/>
    <xf numFmtId="0" fontId="4" fillId="0" borderId="8" xfId="0" applyFont="1" applyBorder="1" applyAlignment="1" applyProtection="1">
      <alignment horizontal="center" vertical="center" wrapText="1"/>
    </xf>
    <xf numFmtId="0" fontId="7" fillId="3" borderId="3" xfId="0" applyFont="1" applyFill="1" applyBorder="1" applyAlignment="1">
      <alignment horizontal="left" vertical="top" wrapText="1"/>
    </xf>
    <xf numFmtId="0" fontId="7" fillId="3" borderId="4" xfId="0" applyFont="1" applyFill="1" applyBorder="1" applyAlignment="1">
      <alignment horizontal="left" vertical="top" wrapText="1"/>
    </xf>
    <xf numFmtId="0" fontId="7" fillId="3" borderId="5" xfId="0" applyFont="1" applyFill="1" applyBorder="1" applyAlignment="1">
      <alignment horizontal="left" vertical="top" wrapText="1"/>
    </xf>
    <xf numFmtId="0" fontId="14" fillId="0" borderId="0" xfId="0" applyFont="1" applyBorder="1" applyAlignment="1" applyProtection="1">
      <alignment horizontal="center" vertical="center" wrapText="1"/>
    </xf>
    <xf numFmtId="0" fontId="5" fillId="0" borderId="1" xfId="0" applyFont="1" applyBorder="1" applyAlignment="1" applyProtection="1">
      <alignment horizontal="center" vertical="center" wrapText="1"/>
    </xf>
    <xf numFmtId="0" fontId="6" fillId="0" borderId="1" xfId="0" applyFont="1" applyFill="1" applyBorder="1" applyAlignment="1" applyProtection="1">
      <alignment horizontal="left" vertical="center" wrapText="1"/>
    </xf>
    <xf numFmtId="0" fontId="7" fillId="0" borderId="2" xfId="0" applyFont="1" applyFill="1" applyBorder="1" applyAlignment="1" applyProtection="1">
      <alignment horizontal="center" vertical="center" wrapText="1"/>
    </xf>
    <xf numFmtId="0" fontId="7" fillId="0" borderId="7" xfId="0" applyFont="1" applyFill="1" applyBorder="1" applyAlignment="1" applyProtection="1">
      <alignment horizontal="center" vertical="center" wrapText="1"/>
    </xf>
    <xf numFmtId="0" fontId="5" fillId="3" borderId="1" xfId="0" applyFont="1" applyFill="1" applyBorder="1" applyAlignment="1" applyProtection="1">
      <alignment horizontal="left" vertical="top"/>
    </xf>
    <xf numFmtId="0" fontId="5" fillId="0" borderId="2" xfId="0" applyFont="1" applyBorder="1" applyAlignment="1" applyProtection="1">
      <alignment horizontal="center" vertical="center" wrapText="1"/>
    </xf>
    <xf numFmtId="0" fontId="5" fillId="0" borderId="6" xfId="0" applyFont="1" applyBorder="1" applyAlignment="1" applyProtection="1">
      <alignment horizontal="center" vertical="center" wrapText="1"/>
    </xf>
    <xf numFmtId="0" fontId="5" fillId="0" borderId="7" xfId="0" applyFont="1" applyBorder="1" applyAlignment="1" applyProtection="1">
      <alignment horizontal="center" vertical="center" wrapText="1"/>
    </xf>
    <xf numFmtId="0" fontId="9" fillId="0" borderId="3" xfId="0" applyFont="1" applyBorder="1" applyAlignment="1" applyProtection="1">
      <alignment horizontal="center" vertical="center" wrapText="1"/>
    </xf>
    <xf numFmtId="0" fontId="9" fillId="0" borderId="5" xfId="0" applyFont="1" applyBorder="1" applyAlignment="1" applyProtection="1">
      <alignment horizontal="center" vertical="center" wrapText="1"/>
    </xf>
    <xf numFmtId="0" fontId="5" fillId="2" borderId="3" xfId="0" applyFont="1" applyFill="1" applyBorder="1" applyAlignment="1" applyProtection="1">
      <alignment horizontal="center" vertical="center" wrapText="1"/>
    </xf>
    <xf numFmtId="0" fontId="5" fillId="2" borderId="4" xfId="0" applyFont="1" applyFill="1" applyBorder="1" applyAlignment="1" applyProtection="1">
      <alignment horizontal="center" vertical="center" wrapText="1"/>
    </xf>
    <xf numFmtId="0" fontId="5" fillId="2" borderId="5" xfId="0" applyFont="1" applyFill="1" applyBorder="1" applyAlignment="1" applyProtection="1">
      <alignment horizontal="center" vertical="center" wrapText="1"/>
    </xf>
    <xf numFmtId="0" fontId="5" fillId="3" borderId="1" xfId="0" applyFont="1" applyFill="1" applyBorder="1" applyAlignment="1" applyProtection="1">
      <alignment horizontal="left" vertical="top" wrapText="1"/>
    </xf>
    <xf numFmtId="9" fontId="4" fillId="0" borderId="1" xfId="0" applyNumberFormat="1" applyFont="1" applyFill="1" applyBorder="1" applyAlignment="1" applyProtection="1">
      <alignment horizontal="center" vertical="center" wrapText="1"/>
    </xf>
    <xf numFmtId="0" fontId="6" fillId="0" borderId="2" xfId="0" applyFont="1" applyFill="1" applyBorder="1" applyAlignment="1" applyProtection="1">
      <alignment horizontal="left" vertical="center" wrapText="1"/>
    </xf>
    <xf numFmtId="0" fontId="6" fillId="0" borderId="6" xfId="0" applyFont="1" applyFill="1" applyBorder="1" applyAlignment="1" applyProtection="1">
      <alignment horizontal="left" vertical="center" wrapText="1"/>
    </xf>
    <xf numFmtId="0" fontId="6" fillId="0" borderId="7" xfId="0" applyFont="1" applyFill="1" applyBorder="1" applyAlignment="1" applyProtection="1">
      <alignment horizontal="left" vertical="center" wrapText="1"/>
    </xf>
    <xf numFmtId="9" fontId="4" fillId="0" borderId="2" xfId="0" applyNumberFormat="1" applyFont="1" applyFill="1" applyBorder="1" applyAlignment="1" applyProtection="1">
      <alignment horizontal="center" vertical="center" wrapText="1"/>
    </xf>
    <xf numFmtId="9" fontId="4" fillId="0" borderId="6" xfId="0" applyNumberFormat="1" applyFont="1" applyFill="1" applyBorder="1" applyAlignment="1" applyProtection="1">
      <alignment horizontal="center" vertical="center" wrapText="1"/>
    </xf>
    <xf numFmtId="9" fontId="4" fillId="0" borderId="7" xfId="0" applyNumberFormat="1"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5" xfId="0" applyFont="1" applyBorder="1" applyAlignment="1" applyProtection="1">
      <alignment horizontal="center" vertical="center" wrapText="1"/>
    </xf>
    <xf numFmtId="0" fontId="8" fillId="0" borderId="1" xfId="0" applyFont="1" applyBorder="1" applyAlignment="1" applyProtection="1">
      <alignment horizontal="center" vertical="center" wrapText="1"/>
    </xf>
    <xf numFmtId="0" fontId="0" fillId="0" borderId="2" xfId="0"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22" fillId="0" borderId="2" xfId="0" applyFont="1" applyFill="1" applyBorder="1" applyAlignment="1">
      <alignment horizontal="center" vertical="center"/>
    </xf>
    <xf numFmtId="0" fontId="22" fillId="0" borderId="7" xfId="0" applyFont="1" applyFill="1" applyBorder="1" applyAlignment="1">
      <alignment horizontal="center" vertical="center"/>
    </xf>
    <xf numFmtId="0" fontId="36" fillId="10" borderId="1" xfId="0" applyFont="1" applyFill="1" applyBorder="1" applyAlignment="1">
      <alignment horizontal="right"/>
    </xf>
    <xf numFmtId="0" fontId="36" fillId="10" borderId="1" xfId="0" applyFont="1" applyFill="1" applyBorder="1" applyAlignment="1">
      <alignment horizontal="center"/>
    </xf>
    <xf numFmtId="0" fontId="21" fillId="0" borderId="3" xfId="0" applyFont="1" applyFill="1" applyBorder="1" applyAlignment="1">
      <alignment horizontal="center" vertical="center" wrapText="1"/>
    </xf>
    <xf numFmtId="0" fontId="21" fillId="0" borderId="4" xfId="0" applyFont="1" applyFill="1" applyBorder="1" applyAlignment="1">
      <alignment horizontal="center" vertical="center" wrapText="1"/>
    </xf>
    <xf numFmtId="0" fontId="21" fillId="0" borderId="5" xfId="0" applyFont="1" applyFill="1" applyBorder="1" applyAlignment="1">
      <alignment horizontal="center" vertical="center" wrapText="1"/>
    </xf>
    <xf numFmtId="18" fontId="21" fillId="0" borderId="3" xfId="0" applyNumberFormat="1" applyFont="1" applyFill="1" applyBorder="1" applyAlignment="1">
      <alignment horizontal="center" vertical="center" wrapText="1"/>
    </xf>
    <xf numFmtId="18" fontId="21" fillId="0" borderId="4" xfId="0" applyNumberFormat="1" applyFont="1" applyFill="1" applyBorder="1" applyAlignment="1">
      <alignment horizontal="center" vertical="center" wrapText="1"/>
    </xf>
    <xf numFmtId="18" fontId="21" fillId="0" borderId="5" xfId="0" applyNumberFormat="1" applyFont="1" applyFill="1" applyBorder="1" applyAlignment="1">
      <alignment horizontal="center" vertical="center" wrapText="1"/>
    </xf>
    <xf numFmtId="18" fontId="21" fillId="0" borderId="3" xfId="0" applyNumberFormat="1" applyFont="1" applyFill="1" applyBorder="1" applyAlignment="1">
      <alignment horizontal="left" vertical="center" wrapText="1"/>
    </xf>
    <xf numFmtId="18" fontId="21" fillId="0" borderId="4" xfId="0" applyNumberFormat="1" applyFont="1" applyFill="1" applyBorder="1" applyAlignment="1">
      <alignment horizontal="left" vertical="center" wrapText="1"/>
    </xf>
    <xf numFmtId="18" fontId="21" fillId="0" borderId="5" xfId="0" applyNumberFormat="1" applyFont="1" applyFill="1" applyBorder="1" applyAlignment="1">
      <alignment horizontal="left" vertical="center" wrapText="1"/>
    </xf>
    <xf numFmtId="0" fontId="23" fillId="7" borderId="1" xfId="0" applyFont="1" applyFill="1" applyBorder="1" applyAlignment="1">
      <alignment vertical="center"/>
    </xf>
    <xf numFmtId="0" fontId="22" fillId="7" borderId="1" xfId="0" applyFont="1" applyFill="1" applyBorder="1" applyAlignment="1">
      <alignment horizontal="center"/>
    </xf>
    <xf numFmtId="0" fontId="23" fillId="0" borderId="3" xfId="0" applyFont="1" applyFill="1" applyBorder="1" applyAlignment="1">
      <alignment vertical="center" wrapText="1"/>
    </xf>
    <xf numFmtId="0" fontId="23" fillId="0" borderId="4" xfId="0" applyFont="1" applyFill="1" applyBorder="1" applyAlignment="1">
      <alignment vertical="center" wrapText="1"/>
    </xf>
    <xf numFmtId="0" fontId="23" fillId="0" borderId="5" xfId="0" applyFont="1" applyFill="1" applyBorder="1" applyAlignment="1">
      <alignment vertical="center" wrapText="1"/>
    </xf>
    <xf numFmtId="9" fontId="23" fillId="0" borderId="1" xfId="0" applyNumberFormat="1" applyFont="1" applyBorder="1" applyAlignment="1">
      <alignment horizontal="center" vertical="center"/>
    </xf>
    <xf numFmtId="0" fontId="23" fillId="0" borderId="1" xfId="0" applyFont="1" applyBorder="1" applyAlignment="1">
      <alignment horizontal="center" vertical="center"/>
    </xf>
    <xf numFmtId="1" fontId="23" fillId="0" borderId="3" xfId="0" applyNumberFormat="1" applyFont="1" applyBorder="1" applyAlignment="1">
      <alignment horizontal="center" vertical="center"/>
    </xf>
    <xf numFmtId="1" fontId="23" fillId="0" borderId="4" xfId="0" applyNumberFormat="1" applyFont="1" applyBorder="1" applyAlignment="1">
      <alignment horizontal="center" vertical="center"/>
    </xf>
    <xf numFmtId="1" fontId="23" fillId="0" borderId="5" xfId="0" applyNumberFormat="1" applyFont="1" applyBorder="1" applyAlignment="1">
      <alignment horizontal="center" vertical="center"/>
    </xf>
    <xf numFmtId="9" fontId="23" fillId="0" borderId="3" xfId="0" applyNumberFormat="1" applyFont="1" applyBorder="1" applyAlignment="1">
      <alignment horizontal="center" vertical="center"/>
    </xf>
    <xf numFmtId="9" fontId="23" fillId="0" borderId="4" xfId="0" applyNumberFormat="1" applyFont="1" applyBorder="1" applyAlignment="1">
      <alignment horizontal="center" vertical="center"/>
    </xf>
    <xf numFmtId="9" fontId="23" fillId="0" borderId="5" xfId="0" applyNumberFormat="1" applyFont="1" applyBorder="1" applyAlignment="1">
      <alignment horizontal="center" vertical="center"/>
    </xf>
    <xf numFmtId="0" fontId="29" fillId="3" borderId="3" xfId="0" applyFont="1" applyFill="1" applyBorder="1" applyAlignment="1">
      <alignment vertical="center" wrapText="1"/>
    </xf>
    <xf numFmtId="0" fontId="29" fillId="3" borderId="4" xfId="0" applyFont="1" applyFill="1" applyBorder="1" applyAlignment="1">
      <alignment vertical="center" wrapText="1"/>
    </xf>
    <xf numFmtId="0" fontId="29" fillId="3" borderId="5" xfId="0" applyFont="1" applyFill="1" applyBorder="1" applyAlignment="1">
      <alignment vertical="center" wrapText="1"/>
    </xf>
    <xf numFmtId="0" fontId="28" fillId="0" borderId="3" xfId="0" quotePrefix="1" applyFont="1" applyFill="1" applyBorder="1" applyAlignment="1">
      <alignment horizontal="left" vertical="center" wrapText="1"/>
    </xf>
    <xf numFmtId="0" fontId="28" fillId="0" borderId="4" xfId="0" quotePrefix="1" applyFont="1" applyFill="1" applyBorder="1" applyAlignment="1">
      <alignment horizontal="left" vertical="center" wrapText="1"/>
    </xf>
    <xf numFmtId="0" fontId="28" fillId="0" borderId="5" xfId="0" quotePrefix="1" applyFont="1" applyFill="1" applyBorder="1" applyAlignment="1">
      <alignment horizontal="left" vertical="center" wrapText="1"/>
    </xf>
    <xf numFmtId="0" fontId="23" fillId="0" borderId="4" xfId="0" applyFont="1" applyBorder="1" applyAlignment="1">
      <alignment horizontal="center" vertical="center"/>
    </xf>
    <xf numFmtId="0" fontId="23" fillId="0" borderId="5" xfId="0" applyFont="1" applyBorder="1" applyAlignment="1">
      <alignment horizontal="center" vertical="center"/>
    </xf>
    <xf numFmtId="0" fontId="22" fillId="0" borderId="9" xfId="0" applyFont="1" applyFill="1" applyBorder="1" applyAlignment="1">
      <alignment horizontal="left" vertical="center"/>
    </xf>
    <xf numFmtId="0" fontId="22" fillId="0" borderId="10" xfId="0" applyFont="1" applyFill="1" applyBorder="1" applyAlignment="1">
      <alignment horizontal="left" vertical="center"/>
    </xf>
    <xf numFmtId="0" fontId="22" fillId="0" borderId="11" xfId="0" applyFont="1" applyFill="1" applyBorder="1" applyAlignment="1">
      <alignment horizontal="left" vertical="center"/>
    </xf>
    <xf numFmtId="0" fontId="22" fillId="0" borderId="8" xfId="0" applyFont="1" applyFill="1" applyBorder="1" applyAlignment="1">
      <alignment horizontal="left" vertical="center"/>
    </xf>
    <xf numFmtId="0" fontId="22" fillId="0" borderId="0" xfId="0" applyFont="1" applyFill="1" applyBorder="1" applyAlignment="1">
      <alignment horizontal="left" vertical="center"/>
    </xf>
    <xf numFmtId="0" fontId="22" fillId="0" borderId="15" xfId="0" applyFont="1" applyFill="1" applyBorder="1" applyAlignment="1">
      <alignment horizontal="left" vertical="center"/>
    </xf>
    <xf numFmtId="0" fontId="22" fillId="0" borderId="12" xfId="0" applyFont="1" applyFill="1" applyBorder="1" applyAlignment="1">
      <alignment horizontal="left" vertical="center"/>
    </xf>
    <xf numFmtId="0" fontId="22" fillId="0" borderId="13" xfId="0" applyFont="1" applyFill="1" applyBorder="1" applyAlignment="1">
      <alignment horizontal="left" vertical="center"/>
    </xf>
    <xf numFmtId="0" fontId="22" fillId="0" borderId="14" xfId="0" applyFont="1" applyFill="1" applyBorder="1" applyAlignment="1">
      <alignment horizontal="left" vertical="center"/>
    </xf>
    <xf numFmtId="0" fontId="22" fillId="0" borderId="6" xfId="0" applyFont="1" applyFill="1" applyBorder="1" applyAlignment="1">
      <alignment horizontal="center" vertical="center"/>
    </xf>
    <xf numFmtId="0" fontId="34" fillId="0" borderId="0" xfId="0" applyFont="1" applyBorder="1" applyAlignment="1">
      <alignment horizontal="left"/>
    </xf>
    <xf numFmtId="0" fontId="27" fillId="7" borderId="3" xfId="0" applyFont="1" applyFill="1" applyBorder="1" applyAlignment="1">
      <alignment horizontal="left" vertical="center" wrapText="1"/>
    </xf>
    <xf numFmtId="0" fontId="27" fillId="7" borderId="4" xfId="0" applyFont="1" applyFill="1" applyBorder="1" applyAlignment="1">
      <alignment horizontal="left" vertical="center" wrapText="1"/>
    </xf>
    <xf numFmtId="0" fontId="27" fillId="7" borderId="5" xfId="0" applyFont="1" applyFill="1" applyBorder="1" applyAlignment="1">
      <alignment horizontal="left" vertical="center" wrapText="1"/>
    </xf>
    <xf numFmtId="0" fontId="21" fillId="0" borderId="1" xfId="0" applyFont="1" applyFill="1" applyBorder="1" applyAlignment="1">
      <alignment horizontal="left" vertical="center" wrapText="1"/>
    </xf>
    <xf numFmtId="0" fontId="21" fillId="0" borderId="1" xfId="0" applyFont="1" applyFill="1" applyBorder="1" applyAlignment="1">
      <alignment vertical="center" wrapText="1"/>
    </xf>
    <xf numFmtId="0" fontId="20" fillId="0" borderId="1" xfId="0" applyFont="1" applyFill="1" applyBorder="1" applyAlignment="1">
      <alignment vertical="center" wrapText="1"/>
    </xf>
    <xf numFmtId="0" fontId="35" fillId="0" borderId="1" xfId="0" applyFont="1" applyFill="1" applyBorder="1" applyAlignment="1">
      <alignment vertical="center" wrapText="1"/>
    </xf>
    <xf numFmtId="0" fontId="20" fillId="0" borderId="9" xfId="0" applyFont="1" applyFill="1" applyBorder="1" applyAlignment="1">
      <alignment vertical="center" wrapText="1"/>
    </xf>
    <xf numFmtId="0" fontId="20" fillId="0" borderId="10" xfId="0" applyFont="1" applyFill="1" applyBorder="1" applyAlignment="1">
      <alignment vertical="center" wrapText="1"/>
    </xf>
    <xf numFmtId="0" fontId="20" fillId="0" borderId="11" xfId="0" applyFont="1" applyFill="1" applyBorder="1" applyAlignment="1">
      <alignment vertical="center" wrapText="1"/>
    </xf>
    <xf numFmtId="0" fontId="20" fillId="0" borderId="12" xfId="0" applyFont="1" applyFill="1" applyBorder="1" applyAlignment="1">
      <alignment vertical="center" wrapText="1"/>
    </xf>
    <xf numFmtId="0" fontId="20" fillId="0" borderId="13" xfId="0" applyFont="1" applyFill="1" applyBorder="1" applyAlignment="1">
      <alignment vertical="center" wrapText="1"/>
    </xf>
    <xf numFmtId="0" fontId="20" fillId="0" borderId="14" xfId="0" applyFont="1" applyFill="1" applyBorder="1" applyAlignment="1">
      <alignment vertical="center" wrapText="1"/>
    </xf>
    <xf numFmtId="0" fontId="20" fillId="0" borderId="3" xfId="0" applyFont="1" applyFill="1" applyBorder="1" applyAlignment="1">
      <alignment vertical="center" wrapText="1"/>
    </xf>
    <xf numFmtId="0" fontId="20" fillId="0" borderId="4" xfId="0" applyFont="1" applyFill="1" applyBorder="1" applyAlignment="1">
      <alignment vertical="center" wrapText="1"/>
    </xf>
    <xf numFmtId="0" fontId="20" fillId="0" borderId="5" xfId="0" applyFont="1" applyFill="1" applyBorder="1" applyAlignment="1">
      <alignment vertical="center" wrapText="1"/>
    </xf>
    <xf numFmtId="0" fontId="21" fillId="0" borderId="3" xfId="0" applyFont="1" applyFill="1" applyBorder="1" applyAlignment="1">
      <alignment horizontal="left" vertical="center" wrapText="1"/>
    </xf>
    <xf numFmtId="0" fontId="21" fillId="0" borderId="4" xfId="0" applyFont="1" applyFill="1" applyBorder="1" applyAlignment="1">
      <alignment horizontal="left" vertical="center" wrapText="1"/>
    </xf>
    <xf numFmtId="0" fontId="21" fillId="0" borderId="5" xfId="0" applyFont="1" applyFill="1" applyBorder="1" applyAlignment="1">
      <alignment horizontal="left" vertical="center" wrapText="1"/>
    </xf>
    <xf numFmtId="0" fontId="23" fillId="7" borderId="3" xfId="0" applyFont="1" applyFill="1" applyBorder="1" applyAlignment="1">
      <alignment horizontal="left" vertical="center"/>
    </xf>
    <xf numFmtId="0" fontId="23" fillId="7" borderId="4" xfId="0" applyFont="1" applyFill="1" applyBorder="1" applyAlignment="1">
      <alignment horizontal="left" vertical="center"/>
    </xf>
    <xf numFmtId="0" fontId="23" fillId="7" borderId="5" xfId="0" applyFont="1" applyFill="1" applyBorder="1" applyAlignment="1">
      <alignment horizontal="left" vertical="center"/>
    </xf>
    <xf numFmtId="0" fontId="23" fillId="0" borderId="3" xfId="0" applyFont="1" applyFill="1" applyBorder="1" applyAlignment="1">
      <alignment horizontal="left" vertical="center" wrapText="1"/>
    </xf>
    <xf numFmtId="0" fontId="23" fillId="0" borderId="4" xfId="0" applyFont="1" applyFill="1" applyBorder="1" applyAlignment="1">
      <alignment horizontal="left" vertical="center" wrapText="1"/>
    </xf>
    <xf numFmtId="0" fontId="23" fillId="0" borderId="5" xfId="0" applyFont="1" applyFill="1" applyBorder="1" applyAlignment="1">
      <alignment horizontal="left" vertical="center" wrapText="1"/>
    </xf>
    <xf numFmtId="0" fontId="34" fillId="5" borderId="0" xfId="0" applyFont="1" applyFill="1" applyBorder="1" applyAlignment="1">
      <alignment horizontal="left"/>
    </xf>
    <xf numFmtId="0" fontId="33" fillId="7" borderId="3" xfId="0" applyFont="1" applyFill="1" applyBorder="1" applyAlignment="1">
      <alignment horizontal="center" vertical="center"/>
    </xf>
    <xf numFmtId="0" fontId="33" fillId="7" borderId="4" xfId="0" applyFont="1" applyFill="1" applyBorder="1" applyAlignment="1">
      <alignment horizontal="center" vertical="center"/>
    </xf>
    <xf numFmtId="0" fontId="33" fillId="7" borderId="5" xfId="0" applyFont="1" applyFill="1" applyBorder="1" applyAlignment="1">
      <alignment horizontal="center" vertical="center"/>
    </xf>
    <xf numFmtId="0" fontId="23" fillId="0" borderId="1" xfId="0" applyFont="1" applyFill="1" applyBorder="1" applyAlignment="1">
      <alignment vertical="center"/>
    </xf>
    <xf numFmtId="0" fontId="23" fillId="0" borderId="1" xfId="0" quotePrefix="1" applyFont="1" applyFill="1" applyBorder="1" applyAlignment="1">
      <alignment vertical="center" wrapText="1"/>
    </xf>
    <xf numFmtId="0" fontId="32" fillId="0" borderId="3" xfId="0" applyFont="1" applyFill="1" applyBorder="1" applyAlignment="1">
      <alignment horizontal="left" vertical="center" wrapText="1"/>
    </xf>
    <xf numFmtId="0" fontId="32" fillId="0" borderId="4" xfId="0" applyFont="1" applyFill="1" applyBorder="1" applyAlignment="1">
      <alignment horizontal="left" vertical="center" wrapText="1"/>
    </xf>
    <xf numFmtId="0" fontId="32" fillId="0" borderId="5" xfId="0" applyFont="1" applyFill="1" applyBorder="1" applyAlignment="1">
      <alignment horizontal="left" vertical="center" wrapText="1"/>
    </xf>
    <xf numFmtId="0" fontId="32" fillId="0" borderId="3" xfId="0" applyFont="1" applyFill="1" applyBorder="1" applyAlignment="1">
      <alignment vertical="center" wrapText="1"/>
    </xf>
    <xf numFmtId="0" fontId="32" fillId="0" borderId="4" xfId="0" applyFont="1" applyFill="1" applyBorder="1" applyAlignment="1">
      <alignment vertical="center" wrapText="1"/>
    </xf>
    <xf numFmtId="0" fontId="32" fillId="0" borderId="5" xfId="0" applyFont="1" applyFill="1" applyBorder="1" applyAlignment="1">
      <alignment vertical="center" wrapText="1"/>
    </xf>
    <xf numFmtId="0" fontId="23" fillId="0" borderId="1" xfId="0" applyFont="1" applyFill="1" applyBorder="1" applyAlignment="1">
      <alignment horizontal="left" vertical="center" wrapText="1"/>
    </xf>
    <xf numFmtId="0" fontId="34" fillId="9" borderId="0" xfId="0" applyFont="1" applyFill="1" applyBorder="1" applyAlignment="1">
      <alignment horizontal="left"/>
    </xf>
    <xf numFmtId="0" fontId="23" fillId="0" borderId="3" xfId="0" applyFont="1" applyFill="1" applyBorder="1" applyAlignment="1">
      <alignment vertical="center"/>
    </xf>
    <xf numFmtId="0" fontId="23" fillId="0" borderId="4" xfId="0" applyFont="1" applyFill="1" applyBorder="1" applyAlignment="1">
      <alignment vertical="center"/>
    </xf>
    <xf numFmtId="0" fontId="23" fillId="0" borderId="5" xfId="0" applyFont="1" applyFill="1" applyBorder="1" applyAlignment="1">
      <alignment vertical="center"/>
    </xf>
    <xf numFmtId="0" fontId="23" fillId="3" borderId="1" xfId="0" quotePrefix="1" applyFont="1" applyFill="1" applyBorder="1" applyAlignment="1">
      <alignment vertical="center"/>
    </xf>
    <xf numFmtId="0" fontId="23" fillId="3" borderId="1" xfId="0" applyFont="1" applyFill="1" applyBorder="1" applyAlignment="1">
      <alignment vertical="center"/>
    </xf>
    <xf numFmtId="0" fontId="23" fillId="0" borderId="1" xfId="0" applyFont="1" applyFill="1" applyBorder="1" applyAlignment="1"/>
    <xf numFmtId="0" fontId="23" fillId="0" borderId="3" xfId="0" applyFont="1" applyFill="1" applyBorder="1" applyAlignment="1"/>
    <xf numFmtId="0" fontId="23" fillId="0" borderId="4" xfId="0" applyFont="1" applyFill="1" applyBorder="1" applyAlignment="1"/>
    <xf numFmtId="0" fontId="23" fillId="0" borderId="5" xfId="0" applyFont="1" applyFill="1" applyBorder="1" applyAlignment="1"/>
    <xf numFmtId="0" fontId="28" fillId="0" borderId="3" xfId="0" quotePrefix="1" applyFont="1" applyFill="1" applyBorder="1" applyAlignment="1">
      <alignment vertical="center" wrapText="1"/>
    </xf>
    <xf numFmtId="0" fontId="28" fillId="0" borderId="4" xfId="0" quotePrefix="1" applyFont="1" applyFill="1" applyBorder="1" applyAlignment="1">
      <alignment vertical="center" wrapText="1"/>
    </xf>
    <xf numFmtId="0" fontId="28" fillId="0" borderId="5" xfId="0" quotePrefix="1" applyFont="1" applyFill="1" applyBorder="1" applyAlignment="1">
      <alignment vertical="center" wrapText="1"/>
    </xf>
    <xf numFmtId="0" fontId="23" fillId="0" borderId="3" xfId="0" quotePrefix="1" applyFont="1" applyFill="1" applyBorder="1" applyAlignment="1">
      <alignment vertical="center" wrapText="1"/>
    </xf>
    <xf numFmtId="0" fontId="23" fillId="3" borderId="3" xfId="0" applyFont="1" applyFill="1" applyBorder="1" applyAlignment="1">
      <alignment vertical="center" wrapText="1"/>
    </xf>
    <xf numFmtId="0" fontId="23" fillId="3" borderId="4" xfId="0" applyFont="1" applyFill="1" applyBorder="1" applyAlignment="1">
      <alignment vertical="center"/>
    </xf>
    <xf numFmtId="0" fontId="23" fillId="3" borderId="5" xfId="0" applyFont="1" applyFill="1" applyBorder="1" applyAlignment="1">
      <alignment vertical="center"/>
    </xf>
    <xf numFmtId="0" fontId="29" fillId="0" borderId="1" xfId="0" applyFont="1" applyFill="1" applyBorder="1" applyAlignment="1"/>
    <xf numFmtId="0" fontId="29" fillId="0" borderId="3" xfId="0" applyFont="1" applyFill="1" applyBorder="1" applyAlignment="1"/>
    <xf numFmtId="0" fontId="29" fillId="0" borderId="4" xfId="0" applyFont="1" applyFill="1" applyBorder="1" applyAlignment="1"/>
    <xf numFmtId="0" fontId="29" fillId="0" borderId="5" xfId="0" applyFont="1" applyFill="1" applyBorder="1" applyAlignment="1"/>
    <xf numFmtId="2" fontId="36" fillId="10" borderId="3" xfId="0" applyNumberFormat="1" applyFont="1" applyFill="1" applyBorder="1" applyAlignment="1">
      <alignment horizontal="center"/>
    </xf>
    <xf numFmtId="2" fontId="36" fillId="10" borderId="4" xfId="0" applyNumberFormat="1" applyFont="1" applyFill="1" applyBorder="1" applyAlignment="1">
      <alignment horizontal="center"/>
    </xf>
    <xf numFmtId="2" fontId="36" fillId="10" borderId="5" xfId="0" applyNumberFormat="1" applyFont="1" applyFill="1" applyBorder="1" applyAlignment="1">
      <alignment horizontal="center"/>
    </xf>
    <xf numFmtId="9" fontId="23" fillId="0" borderId="3" xfId="0" applyNumberFormat="1" applyFont="1" applyFill="1" applyBorder="1" applyAlignment="1">
      <alignment horizontal="center" vertical="center"/>
    </xf>
    <xf numFmtId="9" fontId="23" fillId="0" borderId="4" xfId="0" applyNumberFormat="1" applyFont="1" applyFill="1" applyBorder="1" applyAlignment="1">
      <alignment horizontal="center" vertical="center"/>
    </xf>
    <xf numFmtId="9" fontId="23" fillId="0" borderId="5" xfId="0" applyNumberFormat="1" applyFont="1" applyFill="1" applyBorder="1" applyAlignment="1">
      <alignment horizontal="center" vertical="center"/>
    </xf>
    <xf numFmtId="0" fontId="28" fillId="0" borderId="1" xfId="0" quotePrefix="1" applyFont="1" applyFill="1" applyBorder="1" applyAlignment="1">
      <alignment vertical="center"/>
    </xf>
    <xf numFmtId="0" fontId="28" fillId="0" borderId="1" xfId="0" applyFont="1" applyFill="1" applyBorder="1" applyAlignment="1">
      <alignment vertical="center"/>
    </xf>
    <xf numFmtId="0" fontId="22" fillId="0" borderId="2" xfId="0" applyFont="1" applyFill="1" applyBorder="1" applyAlignment="1">
      <alignment horizontal="center" vertical="center" wrapText="1"/>
    </xf>
    <xf numFmtId="0" fontId="22" fillId="0" borderId="6" xfId="0" applyFont="1" applyFill="1" applyBorder="1" applyAlignment="1">
      <alignment horizontal="center" vertical="center" wrapText="1"/>
    </xf>
    <xf numFmtId="0" fontId="28" fillId="0" borderId="1" xfId="0" quotePrefix="1" applyFont="1" applyFill="1" applyBorder="1" applyAlignment="1">
      <alignment vertical="center" wrapText="1"/>
    </xf>
    <xf numFmtId="9" fontId="23" fillId="0" borderId="9" xfId="0" applyNumberFormat="1" applyFont="1" applyBorder="1" applyAlignment="1">
      <alignment horizontal="center" vertical="center"/>
    </xf>
    <xf numFmtId="9" fontId="23" fillId="0" borderId="10" xfId="0" applyNumberFormat="1" applyFont="1" applyBorder="1" applyAlignment="1">
      <alignment horizontal="center" vertical="center"/>
    </xf>
    <xf numFmtId="9" fontId="23" fillId="0" borderId="11" xfId="0" applyNumberFormat="1" applyFont="1" applyBorder="1" applyAlignment="1">
      <alignment horizontal="center" vertical="center"/>
    </xf>
    <xf numFmtId="0" fontId="29" fillId="3" borderId="9" xfId="0" applyFont="1" applyFill="1" applyBorder="1" applyAlignment="1">
      <alignment horizontal="left" vertical="center" wrapText="1"/>
    </xf>
    <xf numFmtId="0" fontId="29" fillId="3" borderId="10" xfId="0" applyFont="1" applyFill="1" applyBorder="1" applyAlignment="1">
      <alignment horizontal="left" vertical="center" wrapText="1"/>
    </xf>
    <xf numFmtId="0" fontId="28" fillId="0" borderId="4" xfId="0" applyFont="1" applyFill="1" applyBorder="1" applyAlignment="1">
      <alignment vertical="center"/>
    </xf>
    <xf numFmtId="0" fontId="28" fillId="0" borderId="5" xfId="0" applyFont="1" applyFill="1" applyBorder="1" applyAlignment="1">
      <alignment vertical="center"/>
    </xf>
    <xf numFmtId="0" fontId="30" fillId="0" borderId="9" xfId="2" applyFont="1" applyFill="1" applyBorder="1" applyAlignment="1">
      <alignment horizontal="left" vertical="center"/>
    </xf>
    <xf numFmtId="0" fontId="30" fillId="0" borderId="10" xfId="2" applyFont="1" applyFill="1" applyBorder="1" applyAlignment="1">
      <alignment horizontal="left" vertical="center"/>
    </xf>
    <xf numFmtId="0" fontId="30" fillId="0" borderId="11" xfId="2" applyFont="1" applyFill="1" applyBorder="1" applyAlignment="1">
      <alignment horizontal="left" vertical="center"/>
    </xf>
    <xf numFmtId="0" fontId="30" fillId="0" borderId="8" xfId="2" applyFont="1" applyFill="1" applyBorder="1" applyAlignment="1">
      <alignment horizontal="left" vertical="center"/>
    </xf>
    <xf numFmtId="0" fontId="30" fillId="0" borderId="0" xfId="2" applyFont="1" applyFill="1" applyBorder="1" applyAlignment="1">
      <alignment horizontal="left" vertical="center"/>
    </xf>
    <xf numFmtId="0" fontId="30" fillId="0" borderId="15" xfId="2" applyFont="1" applyFill="1" applyBorder="1" applyAlignment="1">
      <alignment horizontal="left" vertical="center"/>
    </xf>
    <xf numFmtId="0" fontId="28" fillId="0" borderId="1" xfId="0" applyFont="1" applyFill="1" applyBorder="1" applyAlignment="1">
      <alignment vertical="center" wrapText="1"/>
    </xf>
    <xf numFmtId="0" fontId="23" fillId="3" borderId="4" xfId="0" applyFont="1" applyFill="1" applyBorder="1" applyAlignment="1">
      <alignment vertical="center" wrapText="1"/>
    </xf>
    <xf numFmtId="0" fontId="23" fillId="3" borderId="5" xfId="0" applyFont="1" applyFill="1" applyBorder="1" applyAlignment="1">
      <alignment vertical="center" wrapText="1"/>
    </xf>
    <xf numFmtId="0" fontId="22" fillId="0" borderId="9" xfId="0" applyFont="1" applyFill="1" applyBorder="1" applyAlignment="1">
      <alignment vertical="center"/>
    </xf>
    <xf numFmtId="0" fontId="22" fillId="0" borderId="10" xfId="0" applyFont="1" applyFill="1" applyBorder="1" applyAlignment="1">
      <alignment vertical="center"/>
    </xf>
    <xf numFmtId="0" fontId="22" fillId="0" borderId="11" xfId="0" applyFont="1" applyFill="1" applyBorder="1" applyAlignment="1">
      <alignment vertical="center"/>
    </xf>
    <xf numFmtId="0" fontId="23" fillId="0" borderId="9" xfId="0" applyFont="1" applyFill="1" applyBorder="1" applyAlignment="1">
      <alignment vertical="center" wrapText="1"/>
    </xf>
    <xf numFmtId="0" fontId="23" fillId="0" borderId="10" xfId="0" applyFont="1" applyFill="1" applyBorder="1" applyAlignment="1">
      <alignment vertical="center"/>
    </xf>
    <xf numFmtId="0" fontId="23" fillId="0" borderId="11" xfId="0" applyFont="1" applyFill="1" applyBorder="1" applyAlignment="1">
      <alignment vertical="center"/>
    </xf>
    <xf numFmtId="0" fontId="23" fillId="0" borderId="1" xfId="0" applyFont="1" applyFill="1" applyBorder="1" applyAlignment="1">
      <alignment vertical="center" wrapText="1"/>
    </xf>
    <xf numFmtId="0" fontId="30" fillId="0" borderId="1" xfId="2" applyFont="1" applyFill="1" applyBorder="1" applyAlignment="1">
      <alignment horizontal="left" vertical="center"/>
    </xf>
    <xf numFmtId="43" fontId="23" fillId="0" borderId="3" xfId="3" applyFont="1" applyFill="1" applyBorder="1" applyAlignment="1">
      <alignment vertical="center"/>
    </xf>
    <xf numFmtId="43" fontId="23" fillId="0" borderId="4" xfId="3" applyFont="1" applyFill="1" applyBorder="1" applyAlignment="1">
      <alignment vertical="center"/>
    </xf>
    <xf numFmtId="43" fontId="23" fillId="0" borderId="5" xfId="3" applyFont="1" applyFill="1" applyBorder="1" applyAlignment="1">
      <alignment vertical="center"/>
    </xf>
    <xf numFmtId="43" fontId="23" fillId="0" borderId="3" xfId="3" quotePrefix="1" applyFont="1" applyFill="1" applyBorder="1" applyAlignment="1">
      <alignment vertical="center" wrapText="1"/>
    </xf>
    <xf numFmtId="43" fontId="23" fillId="0" borderId="4" xfId="3" applyFont="1" applyFill="1" applyBorder="1" applyAlignment="1">
      <alignment vertical="center" wrapText="1"/>
    </xf>
    <xf numFmtId="43" fontId="23" fillId="0" borderId="5" xfId="3" applyFont="1" applyFill="1" applyBorder="1" applyAlignment="1">
      <alignment vertical="center" wrapText="1"/>
    </xf>
    <xf numFmtId="9" fontId="23" fillId="0" borderId="3" xfId="3" applyNumberFormat="1" applyFont="1" applyBorder="1" applyAlignment="1">
      <alignment horizontal="center" vertical="center"/>
    </xf>
    <xf numFmtId="43" fontId="23" fillId="0" borderId="4" xfId="3" applyFont="1" applyBorder="1" applyAlignment="1">
      <alignment horizontal="center" vertical="center"/>
    </xf>
    <xf numFmtId="43" fontId="23" fillId="0" borderId="5" xfId="3" applyFont="1" applyBorder="1" applyAlignment="1">
      <alignment horizontal="center" vertical="center"/>
    </xf>
  </cellXfs>
  <cellStyles count="4">
    <cellStyle name="Comma" xfId="3" builtinId="3"/>
    <cellStyle name="Hyperlink" xfId="2" builtinId="8"/>
    <cellStyle name="Normal" xfId="0" builtinId="0"/>
    <cellStyle name="Percent" xfId="1" builtinId="5"/>
  </cellStyles>
  <dxfs count="102">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s>
  <tableStyles count="0" defaultTableStyle="TableStyleMedium2" defaultPivotStyle="PivotStyleMedium9"/>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view="pageBreakPreview" zoomScale="98" zoomScaleNormal="118" zoomScaleSheetLayoutView="98" workbookViewId="0">
      <selection activeCell="D12" sqref="D12"/>
    </sheetView>
  </sheetViews>
  <sheetFormatPr defaultColWidth="8.81640625" defaultRowHeight="12.5"/>
  <cols>
    <col min="1" max="1" width="6.26953125" style="2" customWidth="1"/>
    <col min="2" max="2" width="40.1796875" style="2" customWidth="1"/>
    <col min="3" max="3" width="28.453125" style="2" customWidth="1"/>
    <col min="4" max="4" width="43.26953125" style="2" customWidth="1"/>
    <col min="5" max="5" width="15.26953125" style="3" customWidth="1"/>
    <col min="6" max="6" width="15.26953125" style="4" customWidth="1"/>
    <col min="7" max="7" width="4.7265625" style="2" hidden="1" customWidth="1"/>
    <col min="8" max="256" width="9.1796875" style="2"/>
    <col min="257" max="257" width="6.26953125" style="2" customWidth="1"/>
    <col min="258" max="258" width="25.26953125" style="2" customWidth="1"/>
    <col min="259" max="259" width="31.453125" style="2" customWidth="1"/>
    <col min="260" max="260" width="31.7265625" style="2" customWidth="1"/>
    <col min="261" max="261" width="14.81640625" style="2" customWidth="1"/>
    <col min="262" max="262" width="14" style="2" customWidth="1"/>
    <col min="263" max="512" width="9.1796875" style="2"/>
    <col min="513" max="513" width="6.26953125" style="2" customWidth="1"/>
    <col min="514" max="514" width="25.26953125" style="2" customWidth="1"/>
    <col min="515" max="515" width="31.453125" style="2" customWidth="1"/>
    <col min="516" max="516" width="31.7265625" style="2" customWidth="1"/>
    <col min="517" max="517" width="14.81640625" style="2" customWidth="1"/>
    <col min="518" max="518" width="14" style="2" customWidth="1"/>
    <col min="519" max="768" width="9.1796875" style="2"/>
    <col min="769" max="769" width="6.26953125" style="2" customWidth="1"/>
    <col min="770" max="770" width="25.26953125" style="2" customWidth="1"/>
    <col min="771" max="771" width="31.453125" style="2" customWidth="1"/>
    <col min="772" max="772" width="31.7265625" style="2" customWidth="1"/>
    <col min="773" max="773" width="14.81640625" style="2" customWidth="1"/>
    <col min="774" max="774" width="14" style="2" customWidth="1"/>
    <col min="775" max="1024" width="9.1796875" style="2"/>
    <col min="1025" max="1025" width="6.26953125" style="2" customWidth="1"/>
    <col min="1026" max="1026" width="25.26953125" style="2" customWidth="1"/>
    <col min="1027" max="1027" width="31.453125" style="2" customWidth="1"/>
    <col min="1028" max="1028" width="31.7265625" style="2" customWidth="1"/>
    <col min="1029" max="1029" width="14.81640625" style="2" customWidth="1"/>
    <col min="1030" max="1030" width="14" style="2" customWidth="1"/>
    <col min="1031" max="1280" width="9.1796875" style="2"/>
    <col min="1281" max="1281" width="6.26953125" style="2" customWidth="1"/>
    <col min="1282" max="1282" width="25.26953125" style="2" customWidth="1"/>
    <col min="1283" max="1283" width="31.453125" style="2" customWidth="1"/>
    <col min="1284" max="1284" width="31.7265625" style="2" customWidth="1"/>
    <col min="1285" max="1285" width="14.81640625" style="2" customWidth="1"/>
    <col min="1286" max="1286" width="14" style="2" customWidth="1"/>
    <col min="1287" max="1536" width="9.1796875" style="2"/>
    <col min="1537" max="1537" width="6.26953125" style="2" customWidth="1"/>
    <col min="1538" max="1538" width="25.26953125" style="2" customWidth="1"/>
    <col min="1539" max="1539" width="31.453125" style="2" customWidth="1"/>
    <col min="1540" max="1540" width="31.7265625" style="2" customWidth="1"/>
    <col min="1541" max="1541" width="14.81640625" style="2" customWidth="1"/>
    <col min="1542" max="1542" width="14" style="2" customWidth="1"/>
    <col min="1543" max="1792" width="9.1796875" style="2"/>
    <col min="1793" max="1793" width="6.26953125" style="2" customWidth="1"/>
    <col min="1794" max="1794" width="25.26953125" style="2" customWidth="1"/>
    <col min="1795" max="1795" width="31.453125" style="2" customWidth="1"/>
    <col min="1796" max="1796" width="31.7265625" style="2" customWidth="1"/>
    <col min="1797" max="1797" width="14.81640625" style="2" customWidth="1"/>
    <col min="1798" max="1798" width="14" style="2" customWidth="1"/>
    <col min="1799" max="2048" width="9.1796875" style="2"/>
    <col min="2049" max="2049" width="6.26953125" style="2" customWidth="1"/>
    <col min="2050" max="2050" width="25.26953125" style="2" customWidth="1"/>
    <col min="2051" max="2051" width="31.453125" style="2" customWidth="1"/>
    <col min="2052" max="2052" width="31.7265625" style="2" customWidth="1"/>
    <col min="2053" max="2053" width="14.81640625" style="2" customWidth="1"/>
    <col min="2054" max="2054" width="14" style="2" customWidth="1"/>
    <col min="2055" max="2304" width="9.1796875" style="2"/>
    <col min="2305" max="2305" width="6.26953125" style="2" customWidth="1"/>
    <col min="2306" max="2306" width="25.26953125" style="2" customWidth="1"/>
    <col min="2307" max="2307" width="31.453125" style="2" customWidth="1"/>
    <col min="2308" max="2308" width="31.7265625" style="2" customWidth="1"/>
    <col min="2309" max="2309" width="14.81640625" style="2" customWidth="1"/>
    <col min="2310" max="2310" width="14" style="2" customWidth="1"/>
    <col min="2311" max="2560" width="9.1796875" style="2"/>
    <col min="2561" max="2561" width="6.26953125" style="2" customWidth="1"/>
    <col min="2562" max="2562" width="25.26953125" style="2" customWidth="1"/>
    <col min="2563" max="2563" width="31.453125" style="2" customWidth="1"/>
    <col min="2564" max="2564" width="31.7265625" style="2" customWidth="1"/>
    <col min="2565" max="2565" width="14.81640625" style="2" customWidth="1"/>
    <col min="2566" max="2566" width="14" style="2" customWidth="1"/>
    <col min="2567" max="2816" width="9.1796875" style="2"/>
    <col min="2817" max="2817" width="6.26953125" style="2" customWidth="1"/>
    <col min="2818" max="2818" width="25.26953125" style="2" customWidth="1"/>
    <col min="2819" max="2819" width="31.453125" style="2" customWidth="1"/>
    <col min="2820" max="2820" width="31.7265625" style="2" customWidth="1"/>
    <col min="2821" max="2821" width="14.81640625" style="2" customWidth="1"/>
    <col min="2822" max="2822" width="14" style="2" customWidth="1"/>
    <col min="2823" max="3072" width="9.1796875" style="2"/>
    <col min="3073" max="3073" width="6.26953125" style="2" customWidth="1"/>
    <col min="3074" max="3074" width="25.26953125" style="2" customWidth="1"/>
    <col min="3075" max="3075" width="31.453125" style="2" customWidth="1"/>
    <col min="3076" max="3076" width="31.7265625" style="2" customWidth="1"/>
    <col min="3077" max="3077" width="14.81640625" style="2" customWidth="1"/>
    <col min="3078" max="3078" width="14" style="2" customWidth="1"/>
    <col min="3079" max="3328" width="9.1796875" style="2"/>
    <col min="3329" max="3329" width="6.26953125" style="2" customWidth="1"/>
    <col min="3330" max="3330" width="25.26953125" style="2" customWidth="1"/>
    <col min="3331" max="3331" width="31.453125" style="2" customWidth="1"/>
    <col min="3332" max="3332" width="31.7265625" style="2" customWidth="1"/>
    <col min="3333" max="3333" width="14.81640625" style="2" customWidth="1"/>
    <col min="3334" max="3334" width="14" style="2" customWidth="1"/>
    <col min="3335" max="3584" width="9.1796875" style="2"/>
    <col min="3585" max="3585" width="6.26953125" style="2" customWidth="1"/>
    <col min="3586" max="3586" width="25.26953125" style="2" customWidth="1"/>
    <col min="3587" max="3587" width="31.453125" style="2" customWidth="1"/>
    <col min="3588" max="3588" width="31.7265625" style="2" customWidth="1"/>
    <col min="3589" max="3589" width="14.81640625" style="2" customWidth="1"/>
    <col min="3590" max="3590" width="14" style="2" customWidth="1"/>
    <col min="3591" max="3840" width="9.1796875" style="2"/>
    <col min="3841" max="3841" width="6.26953125" style="2" customWidth="1"/>
    <col min="3842" max="3842" width="25.26953125" style="2" customWidth="1"/>
    <col min="3843" max="3843" width="31.453125" style="2" customWidth="1"/>
    <col min="3844" max="3844" width="31.7265625" style="2" customWidth="1"/>
    <col min="3845" max="3845" width="14.81640625" style="2" customWidth="1"/>
    <col min="3846" max="3846" width="14" style="2" customWidth="1"/>
    <col min="3847" max="4096" width="9.1796875" style="2"/>
    <col min="4097" max="4097" width="6.26953125" style="2" customWidth="1"/>
    <col min="4098" max="4098" width="25.26953125" style="2" customWidth="1"/>
    <col min="4099" max="4099" width="31.453125" style="2" customWidth="1"/>
    <col min="4100" max="4100" width="31.7265625" style="2" customWidth="1"/>
    <col min="4101" max="4101" width="14.81640625" style="2" customWidth="1"/>
    <col min="4102" max="4102" width="14" style="2" customWidth="1"/>
    <col min="4103" max="4352" width="9.1796875" style="2"/>
    <col min="4353" max="4353" width="6.26953125" style="2" customWidth="1"/>
    <col min="4354" max="4354" width="25.26953125" style="2" customWidth="1"/>
    <col min="4355" max="4355" width="31.453125" style="2" customWidth="1"/>
    <col min="4356" max="4356" width="31.7265625" style="2" customWidth="1"/>
    <col min="4357" max="4357" width="14.81640625" style="2" customWidth="1"/>
    <col min="4358" max="4358" width="14" style="2" customWidth="1"/>
    <col min="4359" max="4608" width="9.1796875" style="2"/>
    <col min="4609" max="4609" width="6.26953125" style="2" customWidth="1"/>
    <col min="4610" max="4610" width="25.26953125" style="2" customWidth="1"/>
    <col min="4611" max="4611" width="31.453125" style="2" customWidth="1"/>
    <col min="4612" max="4612" width="31.7265625" style="2" customWidth="1"/>
    <col min="4613" max="4613" width="14.81640625" style="2" customWidth="1"/>
    <col min="4614" max="4614" width="14" style="2" customWidth="1"/>
    <col min="4615" max="4864" width="9.1796875" style="2"/>
    <col min="4865" max="4865" width="6.26953125" style="2" customWidth="1"/>
    <col min="4866" max="4866" width="25.26953125" style="2" customWidth="1"/>
    <col min="4867" max="4867" width="31.453125" style="2" customWidth="1"/>
    <col min="4868" max="4868" width="31.7265625" style="2" customWidth="1"/>
    <col min="4869" max="4869" width="14.81640625" style="2" customWidth="1"/>
    <col min="4870" max="4870" width="14" style="2" customWidth="1"/>
    <col min="4871" max="5120" width="9.1796875" style="2"/>
    <col min="5121" max="5121" width="6.26953125" style="2" customWidth="1"/>
    <col min="5122" max="5122" width="25.26953125" style="2" customWidth="1"/>
    <col min="5123" max="5123" width="31.453125" style="2" customWidth="1"/>
    <col min="5124" max="5124" width="31.7265625" style="2" customWidth="1"/>
    <col min="5125" max="5125" width="14.81640625" style="2" customWidth="1"/>
    <col min="5126" max="5126" width="14" style="2" customWidth="1"/>
    <col min="5127" max="5376" width="9.1796875" style="2"/>
    <col min="5377" max="5377" width="6.26953125" style="2" customWidth="1"/>
    <col min="5378" max="5378" width="25.26953125" style="2" customWidth="1"/>
    <col min="5379" max="5379" width="31.453125" style="2" customWidth="1"/>
    <col min="5380" max="5380" width="31.7265625" style="2" customWidth="1"/>
    <col min="5381" max="5381" width="14.81640625" style="2" customWidth="1"/>
    <col min="5382" max="5382" width="14" style="2" customWidth="1"/>
    <col min="5383" max="5632" width="9.1796875" style="2"/>
    <col min="5633" max="5633" width="6.26953125" style="2" customWidth="1"/>
    <col min="5634" max="5634" width="25.26953125" style="2" customWidth="1"/>
    <col min="5635" max="5635" width="31.453125" style="2" customWidth="1"/>
    <col min="5636" max="5636" width="31.7265625" style="2" customWidth="1"/>
    <col min="5637" max="5637" width="14.81640625" style="2" customWidth="1"/>
    <col min="5638" max="5638" width="14" style="2" customWidth="1"/>
    <col min="5639" max="5888" width="9.1796875" style="2"/>
    <col min="5889" max="5889" width="6.26953125" style="2" customWidth="1"/>
    <col min="5890" max="5890" width="25.26953125" style="2" customWidth="1"/>
    <col min="5891" max="5891" width="31.453125" style="2" customWidth="1"/>
    <col min="5892" max="5892" width="31.7265625" style="2" customWidth="1"/>
    <col min="5893" max="5893" width="14.81640625" style="2" customWidth="1"/>
    <col min="5894" max="5894" width="14" style="2" customWidth="1"/>
    <col min="5895" max="6144" width="9.1796875" style="2"/>
    <col min="6145" max="6145" width="6.26953125" style="2" customWidth="1"/>
    <col min="6146" max="6146" width="25.26953125" style="2" customWidth="1"/>
    <col min="6147" max="6147" width="31.453125" style="2" customWidth="1"/>
    <col min="6148" max="6148" width="31.7265625" style="2" customWidth="1"/>
    <col min="6149" max="6149" width="14.81640625" style="2" customWidth="1"/>
    <col min="6150" max="6150" width="14" style="2" customWidth="1"/>
    <col min="6151" max="6400" width="9.1796875" style="2"/>
    <col min="6401" max="6401" width="6.26953125" style="2" customWidth="1"/>
    <col min="6402" max="6402" width="25.26953125" style="2" customWidth="1"/>
    <col min="6403" max="6403" width="31.453125" style="2" customWidth="1"/>
    <col min="6404" max="6404" width="31.7265625" style="2" customWidth="1"/>
    <col min="6405" max="6405" width="14.81640625" style="2" customWidth="1"/>
    <col min="6406" max="6406" width="14" style="2" customWidth="1"/>
    <col min="6407" max="6656" width="9.1796875" style="2"/>
    <col min="6657" max="6657" width="6.26953125" style="2" customWidth="1"/>
    <col min="6658" max="6658" width="25.26953125" style="2" customWidth="1"/>
    <col min="6659" max="6659" width="31.453125" style="2" customWidth="1"/>
    <col min="6660" max="6660" width="31.7265625" style="2" customWidth="1"/>
    <col min="6661" max="6661" width="14.81640625" style="2" customWidth="1"/>
    <col min="6662" max="6662" width="14" style="2" customWidth="1"/>
    <col min="6663" max="6912" width="9.1796875" style="2"/>
    <col min="6913" max="6913" width="6.26953125" style="2" customWidth="1"/>
    <col min="6914" max="6914" width="25.26953125" style="2" customWidth="1"/>
    <col min="6915" max="6915" width="31.453125" style="2" customWidth="1"/>
    <col min="6916" max="6916" width="31.7265625" style="2" customWidth="1"/>
    <col min="6917" max="6917" width="14.81640625" style="2" customWidth="1"/>
    <col min="6918" max="6918" width="14" style="2" customWidth="1"/>
    <col min="6919" max="7168" width="9.1796875" style="2"/>
    <col min="7169" max="7169" width="6.26953125" style="2" customWidth="1"/>
    <col min="7170" max="7170" width="25.26953125" style="2" customWidth="1"/>
    <col min="7171" max="7171" width="31.453125" style="2" customWidth="1"/>
    <col min="7172" max="7172" width="31.7265625" style="2" customWidth="1"/>
    <col min="7173" max="7173" width="14.81640625" style="2" customWidth="1"/>
    <col min="7174" max="7174" width="14" style="2" customWidth="1"/>
    <col min="7175" max="7424" width="9.1796875" style="2"/>
    <col min="7425" max="7425" width="6.26953125" style="2" customWidth="1"/>
    <col min="7426" max="7426" width="25.26953125" style="2" customWidth="1"/>
    <col min="7427" max="7427" width="31.453125" style="2" customWidth="1"/>
    <col min="7428" max="7428" width="31.7265625" style="2" customWidth="1"/>
    <col min="7429" max="7429" width="14.81640625" style="2" customWidth="1"/>
    <col min="7430" max="7430" width="14" style="2" customWidth="1"/>
    <col min="7431" max="7680" width="9.1796875" style="2"/>
    <col min="7681" max="7681" width="6.26953125" style="2" customWidth="1"/>
    <col min="7682" max="7682" width="25.26953125" style="2" customWidth="1"/>
    <col min="7683" max="7683" width="31.453125" style="2" customWidth="1"/>
    <col min="7684" max="7684" width="31.7265625" style="2" customWidth="1"/>
    <col min="7685" max="7685" width="14.81640625" style="2" customWidth="1"/>
    <col min="7686" max="7686" width="14" style="2" customWidth="1"/>
    <col min="7687" max="7936" width="9.1796875" style="2"/>
    <col min="7937" max="7937" width="6.26953125" style="2" customWidth="1"/>
    <col min="7938" max="7938" width="25.26953125" style="2" customWidth="1"/>
    <col min="7939" max="7939" width="31.453125" style="2" customWidth="1"/>
    <col min="7940" max="7940" width="31.7265625" style="2" customWidth="1"/>
    <col min="7941" max="7941" width="14.81640625" style="2" customWidth="1"/>
    <col min="7942" max="7942" width="14" style="2" customWidth="1"/>
    <col min="7943" max="8192" width="9.1796875" style="2"/>
    <col min="8193" max="8193" width="6.26953125" style="2" customWidth="1"/>
    <col min="8194" max="8194" width="25.26953125" style="2" customWidth="1"/>
    <col min="8195" max="8195" width="31.453125" style="2" customWidth="1"/>
    <col min="8196" max="8196" width="31.7265625" style="2" customWidth="1"/>
    <col min="8197" max="8197" width="14.81640625" style="2" customWidth="1"/>
    <col min="8198" max="8198" width="14" style="2" customWidth="1"/>
    <col min="8199" max="8448" width="9.1796875" style="2"/>
    <col min="8449" max="8449" width="6.26953125" style="2" customWidth="1"/>
    <col min="8450" max="8450" width="25.26953125" style="2" customWidth="1"/>
    <col min="8451" max="8451" width="31.453125" style="2" customWidth="1"/>
    <col min="8452" max="8452" width="31.7265625" style="2" customWidth="1"/>
    <col min="8453" max="8453" width="14.81640625" style="2" customWidth="1"/>
    <col min="8454" max="8454" width="14" style="2" customWidth="1"/>
    <col min="8455" max="8704" width="9.1796875" style="2"/>
    <col min="8705" max="8705" width="6.26953125" style="2" customWidth="1"/>
    <col min="8706" max="8706" width="25.26953125" style="2" customWidth="1"/>
    <col min="8707" max="8707" width="31.453125" style="2" customWidth="1"/>
    <col min="8708" max="8708" width="31.7265625" style="2" customWidth="1"/>
    <col min="8709" max="8709" width="14.81640625" style="2" customWidth="1"/>
    <col min="8710" max="8710" width="14" style="2" customWidth="1"/>
    <col min="8711" max="8960" width="9.1796875" style="2"/>
    <col min="8961" max="8961" width="6.26953125" style="2" customWidth="1"/>
    <col min="8962" max="8962" width="25.26953125" style="2" customWidth="1"/>
    <col min="8963" max="8963" width="31.453125" style="2" customWidth="1"/>
    <col min="8964" max="8964" width="31.7265625" style="2" customWidth="1"/>
    <col min="8965" max="8965" width="14.81640625" style="2" customWidth="1"/>
    <col min="8966" max="8966" width="14" style="2" customWidth="1"/>
    <col min="8967" max="9216" width="9.1796875" style="2"/>
    <col min="9217" max="9217" width="6.26953125" style="2" customWidth="1"/>
    <col min="9218" max="9218" width="25.26953125" style="2" customWidth="1"/>
    <col min="9219" max="9219" width="31.453125" style="2" customWidth="1"/>
    <col min="9220" max="9220" width="31.7265625" style="2" customWidth="1"/>
    <col min="9221" max="9221" width="14.81640625" style="2" customWidth="1"/>
    <col min="9222" max="9222" width="14" style="2" customWidth="1"/>
    <col min="9223" max="9472" width="9.1796875" style="2"/>
    <col min="9473" max="9473" width="6.26953125" style="2" customWidth="1"/>
    <col min="9474" max="9474" width="25.26953125" style="2" customWidth="1"/>
    <col min="9475" max="9475" width="31.453125" style="2" customWidth="1"/>
    <col min="9476" max="9476" width="31.7265625" style="2" customWidth="1"/>
    <col min="9477" max="9477" width="14.81640625" style="2" customWidth="1"/>
    <col min="9478" max="9478" width="14" style="2" customWidth="1"/>
    <col min="9479" max="9728" width="9.1796875" style="2"/>
    <col min="9729" max="9729" width="6.26953125" style="2" customWidth="1"/>
    <col min="9730" max="9730" width="25.26953125" style="2" customWidth="1"/>
    <col min="9731" max="9731" width="31.453125" style="2" customWidth="1"/>
    <col min="9732" max="9732" width="31.7265625" style="2" customWidth="1"/>
    <col min="9733" max="9733" width="14.81640625" style="2" customWidth="1"/>
    <col min="9734" max="9734" width="14" style="2" customWidth="1"/>
    <col min="9735" max="9984" width="9.1796875" style="2"/>
    <col min="9985" max="9985" width="6.26953125" style="2" customWidth="1"/>
    <col min="9986" max="9986" width="25.26953125" style="2" customWidth="1"/>
    <col min="9987" max="9987" width="31.453125" style="2" customWidth="1"/>
    <col min="9988" max="9988" width="31.7265625" style="2" customWidth="1"/>
    <col min="9989" max="9989" width="14.81640625" style="2" customWidth="1"/>
    <col min="9990" max="9990" width="14" style="2" customWidth="1"/>
    <col min="9991" max="10240" width="9.1796875" style="2"/>
    <col min="10241" max="10241" width="6.26953125" style="2" customWidth="1"/>
    <col min="10242" max="10242" width="25.26953125" style="2" customWidth="1"/>
    <col min="10243" max="10243" width="31.453125" style="2" customWidth="1"/>
    <col min="10244" max="10244" width="31.7265625" style="2" customWidth="1"/>
    <col min="10245" max="10245" width="14.81640625" style="2" customWidth="1"/>
    <col min="10246" max="10246" width="14" style="2" customWidth="1"/>
    <col min="10247" max="10496" width="9.1796875" style="2"/>
    <col min="10497" max="10497" width="6.26953125" style="2" customWidth="1"/>
    <col min="10498" max="10498" width="25.26953125" style="2" customWidth="1"/>
    <col min="10499" max="10499" width="31.453125" style="2" customWidth="1"/>
    <col min="10500" max="10500" width="31.7265625" style="2" customWidth="1"/>
    <col min="10501" max="10501" width="14.81640625" style="2" customWidth="1"/>
    <col min="10502" max="10502" width="14" style="2" customWidth="1"/>
    <col min="10503" max="10752" width="9.1796875" style="2"/>
    <col min="10753" max="10753" width="6.26953125" style="2" customWidth="1"/>
    <col min="10754" max="10754" width="25.26953125" style="2" customWidth="1"/>
    <col min="10755" max="10755" width="31.453125" style="2" customWidth="1"/>
    <col min="10756" max="10756" width="31.7265625" style="2" customWidth="1"/>
    <col min="10757" max="10757" width="14.81640625" style="2" customWidth="1"/>
    <col min="10758" max="10758" width="14" style="2" customWidth="1"/>
    <col min="10759" max="11008" width="9.1796875" style="2"/>
    <col min="11009" max="11009" width="6.26953125" style="2" customWidth="1"/>
    <col min="11010" max="11010" width="25.26953125" style="2" customWidth="1"/>
    <col min="11011" max="11011" width="31.453125" style="2" customWidth="1"/>
    <col min="11012" max="11012" width="31.7265625" style="2" customWidth="1"/>
    <col min="11013" max="11013" width="14.81640625" style="2" customWidth="1"/>
    <col min="11014" max="11014" width="14" style="2" customWidth="1"/>
    <col min="11015" max="11264" width="9.1796875" style="2"/>
    <col min="11265" max="11265" width="6.26953125" style="2" customWidth="1"/>
    <col min="11266" max="11266" width="25.26953125" style="2" customWidth="1"/>
    <col min="11267" max="11267" width="31.453125" style="2" customWidth="1"/>
    <col min="11268" max="11268" width="31.7265625" style="2" customWidth="1"/>
    <col min="11269" max="11269" width="14.81640625" style="2" customWidth="1"/>
    <col min="11270" max="11270" width="14" style="2" customWidth="1"/>
    <col min="11271" max="11520" width="9.1796875" style="2"/>
    <col min="11521" max="11521" width="6.26953125" style="2" customWidth="1"/>
    <col min="11522" max="11522" width="25.26953125" style="2" customWidth="1"/>
    <col min="11523" max="11523" width="31.453125" style="2" customWidth="1"/>
    <col min="11524" max="11524" width="31.7265625" style="2" customWidth="1"/>
    <col min="11525" max="11525" width="14.81640625" style="2" customWidth="1"/>
    <col min="11526" max="11526" width="14" style="2" customWidth="1"/>
    <col min="11527" max="11776" width="9.1796875" style="2"/>
    <col min="11777" max="11777" width="6.26953125" style="2" customWidth="1"/>
    <col min="11778" max="11778" width="25.26953125" style="2" customWidth="1"/>
    <col min="11779" max="11779" width="31.453125" style="2" customWidth="1"/>
    <col min="11780" max="11780" width="31.7265625" style="2" customWidth="1"/>
    <col min="11781" max="11781" width="14.81640625" style="2" customWidth="1"/>
    <col min="11782" max="11782" width="14" style="2" customWidth="1"/>
    <col min="11783" max="12032" width="9.1796875" style="2"/>
    <col min="12033" max="12033" width="6.26953125" style="2" customWidth="1"/>
    <col min="12034" max="12034" width="25.26953125" style="2" customWidth="1"/>
    <col min="12035" max="12035" width="31.453125" style="2" customWidth="1"/>
    <col min="12036" max="12036" width="31.7265625" style="2" customWidth="1"/>
    <col min="12037" max="12037" width="14.81640625" style="2" customWidth="1"/>
    <col min="12038" max="12038" width="14" style="2" customWidth="1"/>
    <col min="12039" max="12288" width="9.1796875" style="2"/>
    <col min="12289" max="12289" width="6.26953125" style="2" customWidth="1"/>
    <col min="12290" max="12290" width="25.26953125" style="2" customWidth="1"/>
    <col min="12291" max="12291" width="31.453125" style="2" customWidth="1"/>
    <col min="12292" max="12292" width="31.7265625" style="2" customWidth="1"/>
    <col min="12293" max="12293" width="14.81640625" style="2" customWidth="1"/>
    <col min="12294" max="12294" width="14" style="2" customWidth="1"/>
    <col min="12295" max="12544" width="9.1796875" style="2"/>
    <col min="12545" max="12545" width="6.26953125" style="2" customWidth="1"/>
    <col min="12546" max="12546" width="25.26953125" style="2" customWidth="1"/>
    <col min="12547" max="12547" width="31.453125" style="2" customWidth="1"/>
    <col min="12548" max="12548" width="31.7265625" style="2" customWidth="1"/>
    <col min="12549" max="12549" width="14.81640625" style="2" customWidth="1"/>
    <col min="12550" max="12550" width="14" style="2" customWidth="1"/>
    <col min="12551" max="12800" width="9.1796875" style="2"/>
    <col min="12801" max="12801" width="6.26953125" style="2" customWidth="1"/>
    <col min="12802" max="12802" width="25.26953125" style="2" customWidth="1"/>
    <col min="12803" max="12803" width="31.453125" style="2" customWidth="1"/>
    <col min="12804" max="12804" width="31.7265625" style="2" customWidth="1"/>
    <col min="12805" max="12805" width="14.81640625" style="2" customWidth="1"/>
    <col min="12806" max="12806" width="14" style="2" customWidth="1"/>
    <col min="12807" max="13056" width="9.1796875" style="2"/>
    <col min="13057" max="13057" width="6.26953125" style="2" customWidth="1"/>
    <col min="13058" max="13058" width="25.26953125" style="2" customWidth="1"/>
    <col min="13059" max="13059" width="31.453125" style="2" customWidth="1"/>
    <col min="13060" max="13060" width="31.7265625" style="2" customWidth="1"/>
    <col min="13061" max="13061" width="14.81640625" style="2" customWidth="1"/>
    <col min="13062" max="13062" width="14" style="2" customWidth="1"/>
    <col min="13063" max="13312" width="9.1796875" style="2"/>
    <col min="13313" max="13313" width="6.26953125" style="2" customWidth="1"/>
    <col min="13314" max="13314" width="25.26953125" style="2" customWidth="1"/>
    <col min="13315" max="13315" width="31.453125" style="2" customWidth="1"/>
    <col min="13316" max="13316" width="31.7265625" style="2" customWidth="1"/>
    <col min="13317" max="13317" width="14.81640625" style="2" customWidth="1"/>
    <col min="13318" max="13318" width="14" style="2" customWidth="1"/>
    <col min="13319" max="13568" width="9.1796875" style="2"/>
    <col min="13569" max="13569" width="6.26953125" style="2" customWidth="1"/>
    <col min="13570" max="13570" width="25.26953125" style="2" customWidth="1"/>
    <col min="13571" max="13571" width="31.453125" style="2" customWidth="1"/>
    <col min="13572" max="13572" width="31.7265625" style="2" customWidth="1"/>
    <col min="13573" max="13573" width="14.81640625" style="2" customWidth="1"/>
    <col min="13574" max="13574" width="14" style="2" customWidth="1"/>
    <col min="13575" max="13824" width="9.1796875" style="2"/>
    <col min="13825" max="13825" width="6.26953125" style="2" customWidth="1"/>
    <col min="13826" max="13826" width="25.26953125" style="2" customWidth="1"/>
    <col min="13827" max="13827" width="31.453125" style="2" customWidth="1"/>
    <col min="13828" max="13828" width="31.7265625" style="2" customWidth="1"/>
    <col min="13829" max="13829" width="14.81640625" style="2" customWidth="1"/>
    <col min="13830" max="13830" width="14" style="2" customWidth="1"/>
    <col min="13831" max="14080" width="9.1796875" style="2"/>
    <col min="14081" max="14081" width="6.26953125" style="2" customWidth="1"/>
    <col min="14082" max="14082" width="25.26953125" style="2" customWidth="1"/>
    <col min="14083" max="14083" width="31.453125" style="2" customWidth="1"/>
    <col min="14084" max="14084" width="31.7265625" style="2" customWidth="1"/>
    <col min="14085" max="14085" width="14.81640625" style="2" customWidth="1"/>
    <col min="14086" max="14086" width="14" style="2" customWidth="1"/>
    <col min="14087" max="14336" width="9.1796875" style="2"/>
    <col min="14337" max="14337" width="6.26953125" style="2" customWidth="1"/>
    <col min="14338" max="14338" width="25.26953125" style="2" customWidth="1"/>
    <col min="14339" max="14339" width="31.453125" style="2" customWidth="1"/>
    <col min="14340" max="14340" width="31.7265625" style="2" customWidth="1"/>
    <col min="14341" max="14341" width="14.81640625" style="2" customWidth="1"/>
    <col min="14342" max="14342" width="14" style="2" customWidth="1"/>
    <col min="14343" max="14592" width="9.1796875" style="2"/>
    <col min="14593" max="14593" width="6.26953125" style="2" customWidth="1"/>
    <col min="14594" max="14594" width="25.26953125" style="2" customWidth="1"/>
    <col min="14595" max="14595" width="31.453125" style="2" customWidth="1"/>
    <col min="14596" max="14596" width="31.7265625" style="2" customWidth="1"/>
    <col min="14597" max="14597" width="14.81640625" style="2" customWidth="1"/>
    <col min="14598" max="14598" width="14" style="2" customWidth="1"/>
    <col min="14599" max="14848" width="9.1796875" style="2"/>
    <col min="14849" max="14849" width="6.26953125" style="2" customWidth="1"/>
    <col min="14850" max="14850" width="25.26953125" style="2" customWidth="1"/>
    <col min="14851" max="14851" width="31.453125" style="2" customWidth="1"/>
    <col min="14852" max="14852" width="31.7265625" style="2" customWidth="1"/>
    <col min="14853" max="14853" width="14.81640625" style="2" customWidth="1"/>
    <col min="14854" max="14854" width="14" style="2" customWidth="1"/>
    <col min="14855" max="15104" width="9.1796875" style="2"/>
    <col min="15105" max="15105" width="6.26953125" style="2" customWidth="1"/>
    <col min="15106" max="15106" width="25.26953125" style="2" customWidth="1"/>
    <col min="15107" max="15107" width="31.453125" style="2" customWidth="1"/>
    <col min="15108" max="15108" width="31.7265625" style="2" customWidth="1"/>
    <col min="15109" max="15109" width="14.81640625" style="2" customWidth="1"/>
    <col min="15110" max="15110" width="14" style="2" customWidth="1"/>
    <col min="15111" max="15360" width="9.1796875" style="2"/>
    <col min="15361" max="15361" width="6.26953125" style="2" customWidth="1"/>
    <col min="15362" max="15362" width="25.26953125" style="2" customWidth="1"/>
    <col min="15363" max="15363" width="31.453125" style="2" customWidth="1"/>
    <col min="15364" max="15364" width="31.7265625" style="2" customWidth="1"/>
    <col min="15365" max="15365" width="14.81640625" style="2" customWidth="1"/>
    <col min="15366" max="15366" width="14" style="2" customWidth="1"/>
    <col min="15367" max="15616" width="9.1796875" style="2"/>
    <col min="15617" max="15617" width="6.26953125" style="2" customWidth="1"/>
    <col min="15618" max="15618" width="25.26953125" style="2" customWidth="1"/>
    <col min="15619" max="15619" width="31.453125" style="2" customWidth="1"/>
    <col min="15620" max="15620" width="31.7265625" style="2" customWidth="1"/>
    <col min="15621" max="15621" width="14.81640625" style="2" customWidth="1"/>
    <col min="15622" max="15622" width="14" style="2" customWidth="1"/>
    <col min="15623" max="15872" width="9.1796875" style="2"/>
    <col min="15873" max="15873" width="6.26953125" style="2" customWidth="1"/>
    <col min="15874" max="15874" width="25.26953125" style="2" customWidth="1"/>
    <col min="15875" max="15875" width="31.453125" style="2" customWidth="1"/>
    <col min="15876" max="15876" width="31.7265625" style="2" customWidth="1"/>
    <col min="15877" max="15877" width="14.81640625" style="2" customWidth="1"/>
    <col min="15878" max="15878" width="14" style="2" customWidth="1"/>
    <col min="15879" max="16128" width="9.1796875" style="2"/>
    <col min="16129" max="16129" width="6.26953125" style="2" customWidth="1"/>
    <col min="16130" max="16130" width="25.26953125" style="2" customWidth="1"/>
    <col min="16131" max="16131" width="31.453125" style="2" customWidth="1"/>
    <col min="16132" max="16132" width="31.7265625" style="2" customWidth="1"/>
    <col min="16133" max="16133" width="14.81640625" style="2" customWidth="1"/>
    <col min="16134" max="16134" width="14" style="2" customWidth="1"/>
    <col min="16135" max="16384" width="9.1796875" style="2"/>
  </cols>
  <sheetData>
    <row r="1" spans="1:7">
      <c r="A1" s="13" t="s">
        <v>0</v>
      </c>
      <c r="E1" s="3">
        <f>25/2</f>
        <v>12.5</v>
      </c>
    </row>
    <row r="2" spans="1:7" s="1" customFormat="1" ht="18.5">
      <c r="A2" s="66" t="s">
        <v>1</v>
      </c>
      <c r="B2" s="66"/>
      <c r="C2" s="66"/>
      <c r="D2" s="66"/>
      <c r="E2" s="66"/>
      <c r="F2" s="66"/>
      <c r="G2" s="5"/>
    </row>
    <row r="3" spans="1:7" s="1" customFormat="1" ht="18" customHeight="1">
      <c r="A3" s="75" t="s">
        <v>2</v>
      </c>
      <c r="B3" s="76"/>
      <c r="C3" s="71"/>
      <c r="D3" s="71"/>
      <c r="E3" s="71"/>
      <c r="F3" s="71"/>
      <c r="G3" s="5"/>
    </row>
    <row r="4" spans="1:7" ht="16.5" customHeight="1">
      <c r="A4" s="75" t="s">
        <v>3</v>
      </c>
      <c r="B4" s="76"/>
      <c r="C4" s="80"/>
      <c r="D4" s="80"/>
      <c r="E4" s="80"/>
      <c r="F4" s="80"/>
      <c r="G4" s="6"/>
    </row>
    <row r="5" spans="1:7" ht="18.75" customHeight="1">
      <c r="A5" s="19" t="s">
        <v>4</v>
      </c>
      <c r="B5" s="20" t="s">
        <v>5</v>
      </c>
      <c r="C5" s="20" t="s">
        <v>6</v>
      </c>
      <c r="D5" s="20" t="s">
        <v>7</v>
      </c>
      <c r="E5" s="19" t="s">
        <v>8</v>
      </c>
      <c r="F5" s="21" t="s">
        <v>9</v>
      </c>
      <c r="G5" s="6"/>
    </row>
    <row r="6" spans="1:7" ht="14.25" customHeight="1">
      <c r="A6" s="72">
        <v>1</v>
      </c>
      <c r="B6" s="82" t="s">
        <v>10</v>
      </c>
      <c r="C6" s="7" t="s">
        <v>11</v>
      </c>
      <c r="D6" s="7" t="s">
        <v>12</v>
      </c>
      <c r="E6" s="17">
        <f>IF(D6="N1",10,IF(D6="N1-",9.5,IF(D6="N2+",9,IF(D6="N2",8,IF(D6="N2-",7.5,IF(D6="N3+",7,IF(D6="N3",6,IF(D6="N3-",5,IF(D6="N4",4,IF(D6="N5",3,0))))))))))</f>
        <v>7</v>
      </c>
      <c r="F6" s="47">
        <v>0.125</v>
      </c>
      <c r="G6" s="6">
        <f>E6*F6</f>
        <v>0.875</v>
      </c>
    </row>
    <row r="7" spans="1:7" ht="14.25" customHeight="1">
      <c r="A7" s="73"/>
      <c r="B7" s="83"/>
      <c r="C7" s="7" t="s">
        <v>13</v>
      </c>
      <c r="D7" s="7" t="s">
        <v>12</v>
      </c>
      <c r="E7" s="17">
        <f>IF(D7="N1",10,IF(D7="N1-",9.5,IF(D7="N2+",9,IF(D7="N2",8,IF(D7="N2-",7.5,IF(D7="N3+",7,IF(D7="N3",6,IF(D7="N3-",5,IF(D7="N4",4,IF(D7="N5",3,0))))))))))</f>
        <v>7</v>
      </c>
      <c r="F7" s="47">
        <v>0.125</v>
      </c>
      <c r="G7" s="6"/>
    </row>
    <row r="8" spans="1:7" ht="14.25" customHeight="1">
      <c r="A8" s="73"/>
      <c r="B8" s="83"/>
      <c r="C8" s="7" t="s">
        <v>14</v>
      </c>
      <c r="D8" s="7" t="s">
        <v>12</v>
      </c>
      <c r="E8" s="17">
        <f>IF(D8="N1",10,IF(D8="N1-",9.5,IF(D8="N2+",9,IF(D8="N2",8,IF(D8="N2-",7.5,IF(D8="N3+",7,IF(D8="N3",6,IF(D8="N3-",5,IF(D8="N4",4,IF(D8="N5",3,0))))))))))</f>
        <v>7</v>
      </c>
      <c r="F8" s="47">
        <v>0.05</v>
      </c>
      <c r="G8" s="6"/>
    </row>
    <row r="9" spans="1:7" ht="14.25" customHeight="1">
      <c r="A9" s="74"/>
      <c r="B9" s="84"/>
      <c r="C9" s="7" t="s">
        <v>15</v>
      </c>
      <c r="D9" s="7" t="s">
        <v>12</v>
      </c>
      <c r="E9" s="17">
        <f>IF(D9="N1",10,IF(D9="N1-",9.5,IF(D9="N2+",9,IF(D9="N2",8,IF(D9="N2-",7.5,IF(D9="N3+",7,IF(D9="N3",6,IF(D9="N3-",5,IF(D9="N4",4,IF(D9="N5",3,0))))))))))</f>
        <v>7</v>
      </c>
      <c r="F9" s="47">
        <v>0.05</v>
      </c>
      <c r="G9" s="6"/>
    </row>
    <row r="10" spans="1:7">
      <c r="A10" s="49">
        <v>2</v>
      </c>
      <c r="B10" s="8" t="s">
        <v>16</v>
      </c>
      <c r="C10" s="7" t="s">
        <v>17</v>
      </c>
      <c r="D10" s="11"/>
      <c r="E10" s="17">
        <f>IF(C10="Elementary",2.5,IF(C10="Intermediate",5,IF(C10="Advanced",8,IF(C10="Proficiency",10,0))))</f>
        <v>5</v>
      </c>
      <c r="F10" s="47">
        <v>0.05</v>
      </c>
      <c r="G10" s="6">
        <f t="shared" ref="G10:G27" si="0">E10*F10</f>
        <v>0.25</v>
      </c>
    </row>
    <row r="11" spans="1:7" ht="14.25" customHeight="1">
      <c r="A11" s="49">
        <v>3</v>
      </c>
      <c r="B11" s="8" t="s">
        <v>18</v>
      </c>
      <c r="C11" s="7" t="s">
        <v>19</v>
      </c>
      <c r="D11" s="11" t="s">
        <v>20</v>
      </c>
      <c r="E11" s="69" t="e">
        <f>IF(C12=Reference!#REF!,Reference!#REF!,IF(C12=Reference!#REF!,Reference!#REF!,IF(Senior!C12=Reference!#REF!,Reference!#REF!,IF(Senior!C12=Reference!#REF!,Reference!#REF!,IF(C12=Reference!#REF!,Reference!#REF!,IF(C12=Reference!#REF!,Reference!#REF!,IF(C12=Reference!#REF!,Reference!#REF!,0)))))))</f>
        <v>#REF!</v>
      </c>
      <c r="F11" s="81">
        <v>0.05</v>
      </c>
      <c r="G11" s="6" t="e">
        <f>E11*F11</f>
        <v>#REF!</v>
      </c>
    </row>
    <row r="12" spans="1:7" ht="14.25" customHeight="1">
      <c r="A12" s="49">
        <v>4</v>
      </c>
      <c r="B12" s="50" t="s">
        <v>21</v>
      </c>
      <c r="C12" s="14" t="s">
        <v>22</v>
      </c>
      <c r="D12" s="11" t="s">
        <v>23</v>
      </c>
      <c r="E12" s="70"/>
      <c r="F12" s="81"/>
      <c r="G12" s="6" t="e">
        <f>E11*F12</f>
        <v>#REF!</v>
      </c>
    </row>
    <row r="13" spans="1:7" ht="14.25" customHeight="1">
      <c r="A13" s="49">
        <v>5</v>
      </c>
      <c r="B13" s="50" t="s">
        <v>24</v>
      </c>
      <c r="C13" s="14" t="s">
        <v>25</v>
      </c>
      <c r="D13" s="11" t="s">
        <v>26</v>
      </c>
      <c r="E13" s="17" t="e">
        <f>IF(C13=Reference!#REF!,Reference!#REF!,IF(C13=Reference!#REF!,Reference!#REF!,IF(Senior!C13=Reference!#REF!,Reference!#REF!,IF(Senior!C13=Reference!#REF!,Reference!#REF!,IF(C13=Reference!#REF!,Reference!#REF!,IF(C13=Reference!#REF!,Reference!#REF!,IF(C13=Reference!#REF!,Reference!#REF!,0)))))))</f>
        <v>#REF!</v>
      </c>
      <c r="F13" s="47">
        <v>0.05</v>
      </c>
      <c r="G13" s="6" t="e">
        <f t="shared" si="0"/>
        <v>#REF!</v>
      </c>
    </row>
    <row r="14" spans="1:7" ht="63.75" customHeight="1">
      <c r="A14" s="72">
        <v>6</v>
      </c>
      <c r="B14" s="82" t="s">
        <v>27</v>
      </c>
      <c r="C14" s="7" t="s">
        <v>28</v>
      </c>
      <c r="D14" s="18" t="s">
        <v>29</v>
      </c>
      <c r="E14" s="69" t="e">
        <f>E16*10%+E17*50%+E18*20%+E19*20%+E20+E21</f>
        <v>#REF!</v>
      </c>
      <c r="F14" s="85">
        <v>0.35</v>
      </c>
      <c r="G14" s="62" t="e">
        <f>E14*F14</f>
        <v>#REF!</v>
      </c>
    </row>
    <row r="15" spans="1:7" ht="137.5" customHeight="1">
      <c r="A15" s="74"/>
      <c r="B15" s="84"/>
      <c r="C15" s="7" t="s">
        <v>30</v>
      </c>
      <c r="D15" s="18" t="s">
        <v>31</v>
      </c>
      <c r="E15" s="70"/>
      <c r="F15" s="86"/>
      <c r="G15" s="62"/>
    </row>
    <row r="16" spans="1:7">
      <c r="A16" s="72">
        <v>7</v>
      </c>
      <c r="B16" s="82" t="s">
        <v>32</v>
      </c>
      <c r="C16" s="7" t="s">
        <v>33</v>
      </c>
      <c r="D16" s="11" t="s">
        <v>34</v>
      </c>
      <c r="E16" s="48" t="e">
        <f>VLOOKUP(D16,Reference!#REF!,2,0)</f>
        <v>#REF!</v>
      </c>
      <c r="F16" s="86"/>
      <c r="G16" s="62"/>
    </row>
    <row r="17" spans="1:7">
      <c r="A17" s="73"/>
      <c r="B17" s="83"/>
      <c r="C17" s="7" t="s">
        <v>35</v>
      </c>
      <c r="D17" s="11" t="s">
        <v>36</v>
      </c>
      <c r="E17" s="48" t="e">
        <f>VLOOKUP(D17,Reference!#REF!,2,0)</f>
        <v>#REF!</v>
      </c>
      <c r="F17" s="86"/>
      <c r="G17" s="62"/>
    </row>
    <row r="18" spans="1:7">
      <c r="A18" s="73"/>
      <c r="B18" s="83"/>
      <c r="C18" s="7" t="s">
        <v>37</v>
      </c>
      <c r="D18" s="11" t="s">
        <v>38</v>
      </c>
      <c r="E18" s="48" t="e">
        <f>VLOOKUP(D18,Reference!#REF!,2,0)</f>
        <v>#REF!</v>
      </c>
      <c r="F18" s="86"/>
      <c r="G18" s="62"/>
    </row>
    <row r="19" spans="1:7">
      <c r="A19" s="73"/>
      <c r="B19" s="83"/>
      <c r="C19" s="7" t="s">
        <v>39</v>
      </c>
      <c r="D19" s="11" t="s">
        <v>40</v>
      </c>
      <c r="E19" s="17" t="e">
        <f>VLOOKUP(D19,Reference!#REF!,2,0)</f>
        <v>#REF!</v>
      </c>
      <c r="F19" s="86"/>
      <c r="G19" s="62"/>
    </row>
    <row r="20" spans="1:7">
      <c r="A20" s="73"/>
      <c r="B20" s="83"/>
      <c r="C20" s="7" t="s">
        <v>41</v>
      </c>
      <c r="D20" s="11" t="s">
        <v>42</v>
      </c>
      <c r="E20" s="17" t="e">
        <f>VLOOKUP(D20,Reference!#REF!,2,FALSE)</f>
        <v>#REF!</v>
      </c>
      <c r="F20" s="86"/>
      <c r="G20" s="24"/>
    </row>
    <row r="21" spans="1:7">
      <c r="A21" s="74"/>
      <c r="B21" s="84"/>
      <c r="C21" s="7" t="s">
        <v>43</v>
      </c>
      <c r="D21" s="11" t="s">
        <v>42</v>
      </c>
      <c r="E21" s="17" t="e">
        <f>VLOOKUP(D21,Reference!#REF!,2,FALSE)</f>
        <v>#REF!</v>
      </c>
      <c r="F21" s="87"/>
      <c r="G21" s="24"/>
    </row>
    <row r="22" spans="1:7">
      <c r="A22" s="67">
        <v>8</v>
      </c>
      <c r="B22" s="68" t="s">
        <v>44</v>
      </c>
      <c r="C22" s="7" t="s">
        <v>45</v>
      </c>
      <c r="D22" s="11" t="s">
        <v>46</v>
      </c>
      <c r="E22" s="12">
        <v>5</v>
      </c>
      <c r="F22" s="47">
        <v>0.03</v>
      </c>
      <c r="G22" s="6">
        <f t="shared" si="0"/>
        <v>0.15</v>
      </c>
    </row>
    <row r="23" spans="1:7">
      <c r="A23" s="67"/>
      <c r="B23" s="68"/>
      <c r="C23" s="7" t="s">
        <v>47</v>
      </c>
      <c r="D23" s="11" t="s">
        <v>48</v>
      </c>
      <c r="E23" s="12">
        <v>5</v>
      </c>
      <c r="F23" s="47">
        <v>0.02</v>
      </c>
      <c r="G23" s="6">
        <f t="shared" si="0"/>
        <v>0.1</v>
      </c>
    </row>
    <row r="24" spans="1:7">
      <c r="A24" s="67"/>
      <c r="B24" s="68"/>
      <c r="C24" s="7" t="s">
        <v>49</v>
      </c>
      <c r="D24" s="11" t="s">
        <v>48</v>
      </c>
      <c r="E24" s="12">
        <v>5</v>
      </c>
      <c r="F24" s="47">
        <v>0.02</v>
      </c>
      <c r="G24" s="6">
        <f t="shared" si="0"/>
        <v>0.1</v>
      </c>
    </row>
    <row r="25" spans="1:7" ht="23">
      <c r="A25" s="72">
        <v>9</v>
      </c>
      <c r="B25" s="82" t="s">
        <v>50</v>
      </c>
      <c r="C25" s="7" t="s">
        <v>51</v>
      </c>
      <c r="D25" s="11" t="s">
        <v>52</v>
      </c>
      <c r="E25" s="12">
        <v>5</v>
      </c>
      <c r="F25" s="47">
        <v>0.03</v>
      </c>
      <c r="G25" s="6">
        <f t="shared" si="0"/>
        <v>0.15</v>
      </c>
    </row>
    <row r="26" spans="1:7">
      <c r="A26" s="73"/>
      <c r="B26" s="83"/>
      <c r="C26" s="7" t="s">
        <v>53</v>
      </c>
      <c r="D26" s="11" t="s">
        <v>54</v>
      </c>
      <c r="E26" s="12">
        <v>5</v>
      </c>
      <c r="F26" s="47">
        <v>0.03</v>
      </c>
      <c r="G26" s="6">
        <f t="shared" si="0"/>
        <v>0.15</v>
      </c>
    </row>
    <row r="27" spans="1:7" ht="34.5">
      <c r="A27" s="74"/>
      <c r="B27" s="84"/>
      <c r="C27" s="7" t="s">
        <v>55</v>
      </c>
      <c r="D27" s="11" t="s">
        <v>56</v>
      </c>
      <c r="E27" s="12">
        <v>5</v>
      </c>
      <c r="F27" s="47">
        <v>0.02</v>
      </c>
      <c r="G27" s="6">
        <f t="shared" si="0"/>
        <v>0.1</v>
      </c>
    </row>
    <row r="28" spans="1:7" ht="14.5" customHeight="1">
      <c r="A28" s="77" t="s">
        <v>57</v>
      </c>
      <c r="B28" s="78"/>
      <c r="C28" s="78"/>
      <c r="D28" s="79"/>
      <c r="E28" s="49" t="e">
        <f>E6*F6+E7*F7+E8*F8+E9*F9+E10*F10+E11*F11+E13*F13+E14*F14+E22*F22+E23*F23+E24*F24+E25*F25+E26*F26+E27*F27</f>
        <v>#REF!</v>
      </c>
      <c r="F28" s="9">
        <f>SUM(F6:F27)</f>
        <v>1</v>
      </c>
      <c r="G28" s="6"/>
    </row>
    <row r="29" spans="1:7" ht="14.5" customHeight="1">
      <c r="A29" s="77" t="s">
        <v>58</v>
      </c>
      <c r="B29" s="78"/>
      <c r="C29" s="78"/>
      <c r="D29" s="79"/>
      <c r="E29" s="90" t="e">
        <f>IF(E28&lt;5,"FAIL",IF(E28&gt;6,"PASS","CONSIDER"))</f>
        <v>#REF!</v>
      </c>
      <c r="F29" s="90"/>
      <c r="G29" s="6"/>
    </row>
    <row r="30" spans="1:7" ht="15" customHeight="1">
      <c r="A30" s="88" t="s">
        <v>59</v>
      </c>
      <c r="B30" s="89"/>
      <c r="C30" s="22"/>
      <c r="D30" s="23"/>
      <c r="E30" s="22"/>
      <c r="F30" s="23"/>
      <c r="G30" s="6"/>
    </row>
    <row r="31" spans="1:7" ht="12.65" customHeight="1">
      <c r="A31" s="15">
        <v>10</v>
      </c>
      <c r="B31" s="10" t="s">
        <v>60</v>
      </c>
      <c r="C31" s="63" t="s">
        <v>61</v>
      </c>
      <c r="D31" s="64"/>
      <c r="E31" s="64"/>
      <c r="F31" s="65"/>
    </row>
    <row r="32" spans="1:7" ht="12.75" customHeight="1">
      <c r="A32" s="15">
        <v>11</v>
      </c>
      <c r="B32" s="16" t="s">
        <v>62</v>
      </c>
      <c r="C32" s="63" t="s">
        <v>63</v>
      </c>
      <c r="D32" s="64"/>
      <c r="E32" s="64"/>
      <c r="F32" s="65"/>
    </row>
    <row r="33" spans="1:6" ht="12.65" customHeight="1">
      <c r="A33" s="15">
        <v>12</v>
      </c>
      <c r="B33" s="16" t="s">
        <v>64</v>
      </c>
      <c r="C33" s="63" t="s">
        <v>65</v>
      </c>
      <c r="D33" s="64"/>
      <c r="E33" s="64"/>
      <c r="F33" s="65"/>
    </row>
    <row r="34" spans="1:6" ht="12.65" customHeight="1">
      <c r="A34" s="15">
        <v>13</v>
      </c>
      <c r="B34" s="16" t="s">
        <v>66</v>
      </c>
      <c r="C34" s="63" t="s">
        <v>67</v>
      </c>
      <c r="D34" s="64"/>
      <c r="E34" s="64"/>
      <c r="F34" s="65"/>
    </row>
    <row r="35" spans="1:6" ht="14.25" customHeight="1">
      <c r="A35" s="15">
        <v>14</v>
      </c>
      <c r="B35" s="16" t="s">
        <v>68</v>
      </c>
      <c r="C35" s="63" t="s">
        <v>69</v>
      </c>
      <c r="D35" s="64"/>
      <c r="E35" s="64"/>
      <c r="F35" s="65"/>
    </row>
    <row r="36" spans="1:6" ht="14.25" customHeight="1">
      <c r="A36" s="15">
        <v>15</v>
      </c>
      <c r="B36" s="16" t="s">
        <v>70</v>
      </c>
      <c r="C36" s="63" t="s">
        <v>71</v>
      </c>
      <c r="D36" s="64"/>
      <c r="E36" s="64"/>
      <c r="F36" s="65"/>
    </row>
    <row r="37" spans="1:6" ht="15.75" customHeight="1">
      <c r="A37" s="15">
        <v>16</v>
      </c>
      <c r="B37" s="16" t="s">
        <v>72</v>
      </c>
      <c r="C37" s="63"/>
      <c r="D37" s="64"/>
      <c r="E37" s="64"/>
      <c r="F37" s="65"/>
    </row>
  </sheetData>
  <protectedRanges>
    <protectedRange algorithmName="SHA-512" hashValue="EpZeDOzArZHn4GSAOGDIe8BveZ/g71OU9ac8FpGXIM7x9ycAuQ9PZEI9z7YVG69ySDjWfbijTq6ioWOpgVEqMw==" saltValue="CFoHNuPy8bMady5KH/UQHQ==" spinCount="100000" sqref="E13:E14 E16:E21 E6:E11" name="RA"/>
  </protectedRanges>
  <mergeCells count="31">
    <mergeCell ref="C37:F37"/>
    <mergeCell ref="A29:D29"/>
    <mergeCell ref="A30:B30"/>
    <mergeCell ref="C32:F32"/>
    <mergeCell ref="E29:F29"/>
    <mergeCell ref="A28:D28"/>
    <mergeCell ref="C4:F4"/>
    <mergeCell ref="F11:F12"/>
    <mergeCell ref="B25:B27"/>
    <mergeCell ref="B14:B15"/>
    <mergeCell ref="E14:E15"/>
    <mergeCell ref="B16:B21"/>
    <mergeCell ref="F14:F21"/>
    <mergeCell ref="A6:A9"/>
    <mergeCell ref="B6:B9"/>
    <mergeCell ref="G14:G19"/>
    <mergeCell ref="C36:F36"/>
    <mergeCell ref="A2:F2"/>
    <mergeCell ref="A22:A24"/>
    <mergeCell ref="C34:F34"/>
    <mergeCell ref="C35:F35"/>
    <mergeCell ref="B22:B24"/>
    <mergeCell ref="C31:F31"/>
    <mergeCell ref="E11:E12"/>
    <mergeCell ref="C3:F3"/>
    <mergeCell ref="C33:F33"/>
    <mergeCell ref="A16:A21"/>
    <mergeCell ref="A3:B3"/>
    <mergeCell ref="A4:B4"/>
    <mergeCell ref="A14:A15"/>
    <mergeCell ref="A25:A27"/>
  </mergeCells>
  <phoneticPr fontId="17"/>
  <conditionalFormatting sqref="E22:E27 C22:C27 C6:C18 E6:E10">
    <cfRule type="containsBlanks" dxfId="101" priority="123">
      <formula>LEN(TRIM(C6))=0</formula>
    </cfRule>
  </conditionalFormatting>
  <conditionalFormatting sqref="C3:C4">
    <cfRule type="containsBlanks" dxfId="100" priority="122">
      <formula>LEN(TRIM(C3))=0</formula>
    </cfRule>
  </conditionalFormatting>
  <conditionalFormatting sqref="C31:F37">
    <cfRule type="containsBlanks" dxfId="99" priority="118">
      <formula>LEN(TRIM(C31))=0</formula>
    </cfRule>
  </conditionalFormatting>
  <conditionalFormatting sqref="D13 D16:D18 D22:D26">
    <cfRule type="containsBlanks" dxfId="98" priority="116">
      <formula>LEN(TRIM(D13))=0</formula>
    </cfRule>
    <cfRule type="cellIs" dxfId="97" priority="117" operator="equal">
      <formula>"Ghi rõ tên tất cả các trường đã TN và năm TN"</formula>
    </cfRule>
  </conditionalFormatting>
  <conditionalFormatting sqref="D13">
    <cfRule type="containsBlanks" dxfId="96" priority="109">
      <formula>LEN(TRIM(D13))=0</formula>
    </cfRule>
    <cfRule type="cellIs" dxfId="95" priority="110" operator="equal">
      <formula>"Ghi chính xác số năm kinh nghiệm làm việc ở Nhật"</formula>
    </cfRule>
    <cfRule type="cellIs" priority="111" operator="equal">
      <formula>"Ghi chính xác số năm kinh nghiệm làm việc ở Nhật"</formula>
    </cfRule>
  </conditionalFormatting>
  <conditionalFormatting sqref="D10">
    <cfRule type="cellIs" dxfId="94" priority="13" operator="equal">
      <formula>"Ghi rõ số điểm TOEIC, IELS nếu có và đánh giá chi tiết 4 kĩ năng: Nghe, nói, đọc, viết"</formula>
    </cfRule>
    <cfRule type="cellIs" dxfId="93" priority="70" operator="equal">
      <formula>"Ghi rõ ngôn ngữ đã làm thật trong dự án và số năm kinh nghiệm. VD 2 năm Java front end Springs, 4 năm .NET, 0.5 Python. Oracle làm nhiều, MySQL ít. Các nhận xét khác của interviewer"</formula>
    </cfRule>
    <cfRule type="cellIs" dxfId="92" priority="71" operator="equal">
      <formula>"Ghi rõ ngôn ngữ đã làm thật trong dự án và số năm kinh nghiệm. VD 2 năm Java front end Springs, 4 năm .NET, 0.5 Python. Oracle làm nhiều, MySQL ít. Các nhận xét khác của interviewer"</formula>
    </cfRule>
    <cfRule type="containsBlanks" dxfId="91" priority="98">
      <formula>LEN(TRIM(D10))=0</formula>
    </cfRule>
    <cfRule type="cellIs" dxfId="90" priority="99" operator="equal">
      <formula>"Đánh giá chi tiết 4 kĩ năng: Nghe, nói, đọc, viết"</formula>
    </cfRule>
  </conditionalFormatting>
  <conditionalFormatting sqref="D16:D18">
    <cfRule type="containsBlanks" dxfId="89" priority="68">
      <formula>LEN(TRIM(D16))=0</formula>
    </cfRule>
    <cfRule type="cellIs" dxfId="88" priority="69" operator="equal">
      <formula>"Ghi rõ ngôn ngữ đã làm thật trong dự án và số năm kinh nghiệm. VD 2 năm Java front end Springs, 4 năm .NET, 0.5 Python. Oracle làm nhiều, MySQL ít. Các nhận xét khác của interviewer"</formula>
    </cfRule>
    <cfRule type="containsBlanks" priority="78">
      <formula>LEN(TRIM(D16))=0</formula>
    </cfRule>
    <cfRule type="cellIs" dxfId="87" priority="79" operator="equal">
      <formula>"Ghi rõ ngôn ngữ đã làm thật trong dự án và số năm kinh nghiệm. VD 2 năm Java, 4 năm .NET, 0.5 Python. Các nhận xét khác của interviewer"</formula>
    </cfRule>
    <cfRule type="cellIs" dxfId="86" priority="97" operator="equal">
      <formula>"Đề nghị ghi chi tiết: ví dụ: Jave web, backend/front end/ Winapp..."</formula>
    </cfRule>
  </conditionalFormatting>
  <conditionalFormatting sqref="C27">
    <cfRule type="cellIs" dxfId="85" priority="96" operator="equal">
      <formula>"Đề nghị ghi chi tiết: ví dụ: Jave web, backend/front end/ Winapp…"</formula>
    </cfRule>
  </conditionalFormatting>
  <conditionalFormatting sqref="D22">
    <cfRule type="containsBlanks" dxfId="84" priority="58">
      <formula>LEN(TRIM(D22))=0</formula>
    </cfRule>
    <cfRule type="cellIs" dxfId="83" priority="59" operator="equal">
      <formula>"Ghi rõ nhận xét của interviewer. Thang điểm 10"</formula>
    </cfRule>
    <cfRule type="containsBlanks" dxfId="82" priority="92">
      <formula>LEN(TRIM(D22))=0</formula>
    </cfRule>
    <cfRule type="cellIs" dxfId="81" priority="95" operator="equal">
      <formula>"Ghi rõ nhận xét của interviewer"</formula>
    </cfRule>
  </conditionalFormatting>
  <conditionalFormatting sqref="D23">
    <cfRule type="cellIs" dxfId="80" priority="94" operator="equal">
      <formula>"Ghi rõ nhận xét của interviewer"</formula>
    </cfRule>
  </conditionalFormatting>
  <conditionalFormatting sqref="D24">
    <cfRule type="cellIs" dxfId="79" priority="93" operator="equal">
      <formula>"Ghi rõ nhận xét của interviewer"</formula>
    </cfRule>
  </conditionalFormatting>
  <conditionalFormatting sqref="D23">
    <cfRule type="containsBlanks" dxfId="78" priority="90">
      <formula>LEN(TRIM(D23))=0</formula>
    </cfRule>
    <cfRule type="cellIs" dxfId="77" priority="91" operator="equal">
      <formula>"Ghi rõ nhận xét của interviewer"</formula>
    </cfRule>
  </conditionalFormatting>
  <conditionalFormatting sqref="D24">
    <cfRule type="containsBlanks" dxfId="76" priority="88">
      <formula>LEN(TRIM(D24))=0</formula>
    </cfRule>
    <cfRule type="cellIs" dxfId="75" priority="89" operator="equal">
      <formula>"Ghi rõ nhận xét của interviewer"</formula>
    </cfRule>
  </conditionalFormatting>
  <conditionalFormatting sqref="C37:F37">
    <cfRule type="containsBlanks" dxfId="74" priority="63">
      <formula>LEN(TRIM(C37))=0</formula>
    </cfRule>
    <cfRule type="cellIs" dxfId="73" priority="64" operator="equal">
      <formula>"Đề nghị ghi chi tiết. VD Java web, backend, front end, Winapp…, 3 năm dự án ngân hàng, ERP…"</formula>
    </cfRule>
    <cfRule type="cellIs" priority="65" operator="equal">
      <formula>"Đề nghị ghi chi tiết. VD Java web, backend, front end, Winapp…, 3 năm dự án ngân hàng, ERP…"</formula>
    </cfRule>
    <cfRule type="containsBlanks" dxfId="72" priority="86">
      <formula>LEN(TRIM(C37))=0</formula>
    </cfRule>
    <cfRule type="cellIs" dxfId="71" priority="87" operator="equal">
      <formula>"Đề nghị ghi chi tiết. VD Java web, backend, front end, Winapp…"</formula>
    </cfRule>
  </conditionalFormatting>
  <conditionalFormatting sqref="D25:D26">
    <cfRule type="containsBlanks" dxfId="70" priority="76">
      <formula>LEN(TRIM(D25))=0</formula>
    </cfRule>
    <cfRule type="cellIs" dxfId="69" priority="77" operator="equal">
      <formula>"Làm việc ở vùng nào cũng được 10 điểm. Ghi rõ địa điểm có thể làm việc được"</formula>
    </cfRule>
  </conditionalFormatting>
  <conditionalFormatting sqref="C32:F32">
    <cfRule type="containsBlanks" dxfId="68" priority="66">
      <formula>LEN(TRIM(C32))=0</formula>
    </cfRule>
    <cfRule type="cellIs" dxfId="67" priority="67" operator="equal">
      <formula>"Chú ý nếu UV không có bằng ĐH thì phải hỏi có chứng chỉ FE hoặc 10 năm kinh nghiệm IT không?"</formula>
    </cfRule>
  </conditionalFormatting>
  <conditionalFormatting sqref="D23">
    <cfRule type="containsBlanks" dxfId="66" priority="54">
      <formula>LEN(TRIM(D23))=0</formula>
    </cfRule>
    <cfRule type="cellIs" dxfId="65" priority="55" operator="equal">
      <formula>"Ghi rõ nhận xét của interviewer. Thang điểm 10"</formula>
    </cfRule>
    <cfRule type="containsBlanks" dxfId="64" priority="56">
      <formula>LEN(TRIM(D23))=0</formula>
    </cfRule>
    <cfRule type="cellIs" dxfId="63" priority="57" operator="equal">
      <formula>"Ghi rõ nhận xét của interviewer"</formula>
    </cfRule>
  </conditionalFormatting>
  <conditionalFormatting sqref="D24">
    <cfRule type="containsBlanks" dxfId="62" priority="50">
      <formula>LEN(TRIM(D24))=0</formula>
    </cfRule>
    <cfRule type="cellIs" dxfId="61" priority="51" operator="equal">
      <formula>"Ghi rõ nhận xét của interviewer. Thang điểm 10"</formula>
    </cfRule>
    <cfRule type="containsBlanks" dxfId="60" priority="52">
      <formula>LEN(TRIM(D24))=0</formula>
    </cfRule>
    <cfRule type="cellIs" dxfId="59" priority="53" operator="equal">
      <formula>"Ghi rõ nhận xét của interviewer"</formula>
    </cfRule>
  </conditionalFormatting>
  <conditionalFormatting sqref="E11">
    <cfRule type="containsBlanks" dxfId="58" priority="44">
      <formula>LEN(TRIM(E11))=0</formula>
    </cfRule>
  </conditionalFormatting>
  <conditionalFormatting sqref="D14:D15">
    <cfRule type="containsBlanks" dxfId="57" priority="42">
      <formula>LEN(TRIM(D14))=0</formula>
    </cfRule>
    <cfRule type="cellIs" dxfId="56" priority="43" operator="equal">
      <formula>"Ghi rõ tên tất cả các trường đã TN và năm TN"</formula>
    </cfRule>
  </conditionalFormatting>
  <conditionalFormatting sqref="D14:D15">
    <cfRule type="containsBlanks" dxfId="55" priority="39">
      <formula>LEN(TRIM(D14))=0</formula>
    </cfRule>
    <cfRule type="cellIs" dxfId="54" priority="40" operator="equal">
      <formula>"Ghi chính xác số năm kinh nghiệm làm việc ở Nhật"</formula>
    </cfRule>
    <cfRule type="cellIs" priority="41" operator="equal">
      <formula>"Ghi chính xác số năm kinh nghiệm làm việc ở Nhật"</formula>
    </cfRule>
  </conditionalFormatting>
  <conditionalFormatting sqref="D11:D12">
    <cfRule type="cellIs" dxfId="53" priority="35" operator="equal">
      <formula>"Ghi rõ ngôn ngữ đã làm thật trong dự án và số năm kinh nghiệm. VD 2 năm Java front end Springs, 4 năm .NET, 0.5 Python. Oracle làm nhiều, MySQL ít. Các nhận xét khác của interviewer"</formula>
    </cfRule>
    <cfRule type="cellIs" dxfId="52" priority="36" operator="equal">
      <formula>"Ghi rõ ngôn ngữ đã làm thật trong dự án và số năm kinh nghiệm. VD 2 năm Java front end Springs, 4 năm .NET, 0.5 Python. Oracle làm nhiều, MySQL ít. Các nhận xét khác của interviewer"</formula>
    </cfRule>
    <cfRule type="containsBlanks" dxfId="51" priority="37">
      <formula>LEN(TRIM(D11))=0</formula>
    </cfRule>
    <cfRule type="cellIs" dxfId="50" priority="38" operator="equal">
      <formula>"Đánh giá chi tiết 4 kĩ năng: Nghe, nói, đọc, viết"</formula>
    </cfRule>
  </conditionalFormatting>
  <conditionalFormatting sqref="D11">
    <cfRule type="cellIs" dxfId="49" priority="34" operator="equal">
      <formula>"Ghi rõ tên tất cả các trường đã TN và năm TN"</formula>
    </cfRule>
  </conditionalFormatting>
  <conditionalFormatting sqref="D12">
    <cfRule type="cellIs" dxfId="48" priority="33" operator="equal">
      <formula>"Ghi chính xác số năm kinh nghiệm trong lĩnh vực IT"</formula>
    </cfRule>
  </conditionalFormatting>
  <conditionalFormatting sqref="C26">
    <cfRule type="cellIs" dxfId="47" priority="29" operator="equal">
      <formula>"Đề nghị ghi chi tiết: ví dụ: Jave web, backend/front end/ Winapp…"</formula>
    </cfRule>
  </conditionalFormatting>
  <conditionalFormatting sqref="D26">
    <cfRule type="cellIs" dxfId="46" priority="28" operator="equal">
      <formula>"Ghi rõ số năm và chi tiết kinh nghiệm làm việc tại FSOFT"</formula>
    </cfRule>
  </conditionalFormatting>
  <conditionalFormatting sqref="D27">
    <cfRule type="cellIs" dxfId="45" priority="27" operator="equal">
      <formula>"Ghi rõ skil hiếm hoặc khó hoặc có mặt bằng lương cao mà ứng viên sở hữu. VD Python, Ruby, Machine Learning…"</formula>
    </cfRule>
  </conditionalFormatting>
  <conditionalFormatting sqref="C31:F31">
    <cfRule type="cellIs" dxfId="44" priority="20" operator="equal">
      <formula>"Ghi rõ nơi ở hiện tại của ứng viên, vd Đà Nẵng, Nagoya…"</formula>
    </cfRule>
  </conditionalFormatting>
  <conditionalFormatting sqref="C33:F33">
    <cfRule type="cellIs" dxfId="43" priority="19" operator="equal">
      <formula>"Ngày ứng vien có thể bắt đầu làm việc nếu pass"</formula>
    </cfRule>
  </conditionalFormatting>
  <conditionalFormatting sqref="C34:F34">
    <cfRule type="cellIs" dxfId="42" priority="17" operator="equal">
      <formula>"Tình trạng gia đình, vd vợ đang đi làm ở Hàn, 2 con ở VN với ông bà"</formula>
    </cfRule>
    <cfRule type="cellIs" dxfId="41" priority="18" operator="equal">
      <formula>"Tình trạng gia đình, vd 1 vợ đang đi làm ở Hàn, 2 con ở VN với ông bà"</formula>
    </cfRule>
  </conditionalFormatting>
  <conditionalFormatting sqref="C35:F35">
    <cfRule type="cellIs" dxfId="40" priority="16" operator="equal">
      <formula>"Mong muốn sang Nhật bao lâu, vd muốn sang Nhật 3 năm, vợ con vẫn ở VN hoặc muốn định cư cả gia đình tại Nhật…"</formula>
    </cfRule>
  </conditionalFormatting>
  <conditionalFormatting sqref="C36:F36">
    <cfRule type="cellIs" dxfId="39" priority="15" operator="equal">
      <formula>"Vị trí mong muốn, vd BrSE theo hướng có offshore hoặc SE focus vào kỹ thuật mới hoặc chỉ muốn làm trong lĩnh vực tài chính…"</formula>
    </cfRule>
  </conditionalFormatting>
  <conditionalFormatting sqref="C19:C21">
    <cfRule type="containsBlanks" dxfId="38" priority="7">
      <formula>LEN(TRIM(C19))=0</formula>
    </cfRule>
  </conditionalFormatting>
  <conditionalFormatting sqref="D19:D21">
    <cfRule type="containsBlanks" dxfId="37" priority="5">
      <formula>LEN(TRIM(D19))=0</formula>
    </cfRule>
    <cfRule type="cellIs" dxfId="36" priority="6" operator="equal">
      <formula>"Ghi rõ tên tất cả các trường đã TN và năm TN"</formula>
    </cfRule>
  </conditionalFormatting>
  <conditionalFormatting sqref="D6">
    <cfRule type="containsBlanks" dxfId="35" priority="4">
      <formula>LEN(TRIM(D6))=0</formula>
    </cfRule>
  </conditionalFormatting>
  <conditionalFormatting sqref="D7">
    <cfRule type="containsBlanks" dxfId="34" priority="3">
      <formula>LEN(TRIM(D7))=0</formula>
    </cfRule>
  </conditionalFormatting>
  <conditionalFormatting sqref="D8">
    <cfRule type="containsBlanks" dxfId="33" priority="2">
      <formula>LEN(TRIM(D8))=0</formula>
    </cfRule>
  </conditionalFormatting>
  <conditionalFormatting sqref="D9">
    <cfRule type="containsBlanks" dxfId="32" priority="1">
      <formula>LEN(TRIM(D9))=0</formula>
    </cfRule>
  </conditionalFormatting>
  <dataValidations count="6">
    <dataValidation type="list" allowBlank="1" showInputMessage="1" showErrorMessage="1" prompt="N1_x000a_N1-" sqref="D6:D9">
      <formula1>"N1, N1-, N2+,N2,N2-,N3+,N3,N3-,N4+,N4,N5,No"</formula1>
    </dataValidation>
    <dataValidation type="list" allowBlank="1" showInputMessage="1" showErrorMessage="1" sqref="C10">
      <formula1>"Elementary, Intermediate, Advanced, Proficiency"</formula1>
    </dataValidation>
    <dataValidation type="list" allowBlank="1" showInputMessage="1" showErrorMessage="1" sqref="C12">
      <formula1>"&lt;1y,1~3yrs,3~5yrs,5~8yrs,8~10yrs,10~15yrs,&gt;15yrs"</formula1>
    </dataValidation>
    <dataValidation type="list" allowBlank="1" showInputMessage="1" showErrorMessage="1" sqref="C11">
      <formula1>"CĐ hoặc khác, ĐH,Master,PhD"</formula1>
    </dataValidation>
    <dataValidation type="list" allowBlank="1" showInputMessage="1" showErrorMessage="1" sqref="C13">
      <formula1>"0,&lt;1y,1~3yrs,3~5yrs,5~8yrs,8~10yrs,10~15yrs,&gt;15yrs"</formula1>
    </dataValidation>
    <dataValidation type="list" allowBlank="1" showInputMessage="1" showErrorMessage="1" sqref="B6:B9">
      <formula1>#REF!</formula1>
    </dataValidation>
  </dataValidations>
  <pageMargins left="0.7" right="0.7" top="0.75" bottom="0.75" header="0.3" footer="0.3"/>
  <pageSetup scale="60"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Reference!#REF!</xm:f>
          </x14:formula1>
          <xm:sqref>D16:D21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A5" sqref="A5"/>
    </sheetView>
  </sheetViews>
  <sheetFormatPr defaultColWidth="8.81640625" defaultRowHeight="14.5"/>
  <cols>
    <col min="1" max="1" width="103" customWidth="1"/>
    <col min="2" max="2" width="9.453125" customWidth="1"/>
  </cols>
  <sheetData>
    <row r="1" spans="1:2" ht="23.5">
      <c r="A1" s="27" t="s">
        <v>73</v>
      </c>
      <c r="B1" s="25"/>
    </row>
    <row r="2" spans="1:2">
      <c r="A2" s="28" t="s">
        <v>74</v>
      </c>
      <c r="B2" s="28" t="s">
        <v>75</v>
      </c>
    </row>
    <row r="3" spans="1:2" ht="49.5" customHeight="1">
      <c r="A3" s="29" t="s">
        <v>76</v>
      </c>
      <c r="B3" s="32"/>
    </row>
    <row r="4" spans="1:2">
      <c r="A4" s="30" t="s">
        <v>77</v>
      </c>
      <c r="B4" s="33" t="s">
        <v>78</v>
      </c>
    </row>
    <row r="5" spans="1:2" ht="198" customHeight="1">
      <c r="A5" s="29" t="s">
        <v>79</v>
      </c>
      <c r="B5" s="91"/>
    </row>
    <row r="6" spans="1:2">
      <c r="A6" s="28" t="s">
        <v>80</v>
      </c>
      <c r="B6" s="92"/>
    </row>
    <row r="7" spans="1:2" ht="34.5" customHeight="1">
      <c r="A7" s="31" t="s">
        <v>81</v>
      </c>
      <c r="B7" s="93"/>
    </row>
    <row r="8" spans="1:2" ht="29">
      <c r="A8" s="34" t="s">
        <v>82</v>
      </c>
      <c r="B8" s="33" t="s">
        <v>78</v>
      </c>
    </row>
    <row r="9" spans="1:2" ht="29">
      <c r="A9" s="34" t="s">
        <v>83</v>
      </c>
      <c r="B9" s="33" t="s">
        <v>78</v>
      </c>
    </row>
    <row r="10" spans="1:2" ht="29">
      <c r="A10" s="34" t="s">
        <v>84</v>
      </c>
      <c r="B10" s="33" t="s">
        <v>78</v>
      </c>
    </row>
  </sheetData>
  <mergeCells count="1">
    <mergeCell ref="B5:B7"/>
  </mergeCells>
  <hyperlinks>
    <hyperlink ref="B4" location="InterviewCheckList!A1" display="Click"/>
    <hyperlink ref="B8" location="TechInterview!A1" display="Click here"/>
    <hyperlink ref="B9" location="'Interview Bank'!A1" display="Click here"/>
    <hyperlink ref="B10" location="CertificateList!A1" display="Click here"/>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R40"/>
  <sheetViews>
    <sheetView tabSelected="1" zoomScale="85" zoomScaleNormal="85" workbookViewId="0">
      <selection activeCell="AP1" sqref="AP1:AP1048576"/>
    </sheetView>
  </sheetViews>
  <sheetFormatPr defaultColWidth="3.453125" defaultRowHeight="14"/>
  <cols>
    <col min="1" max="7" width="3.453125" style="26"/>
    <col min="8" max="14" width="6.81640625" style="26" customWidth="1"/>
    <col min="15" max="16" width="3.453125" style="26" hidden="1" customWidth="1"/>
    <col min="17" max="34" width="3.453125" style="26"/>
    <col min="35" max="37" width="3.453125" style="26" hidden="1" customWidth="1"/>
    <col min="38" max="38" width="1.26953125" style="26" hidden="1" customWidth="1"/>
    <col min="39" max="40" width="3.453125" style="26"/>
    <col min="41" max="41" width="17.453125" style="26" customWidth="1"/>
    <col min="42" max="42" width="10.6328125" style="26" hidden="1" customWidth="1"/>
    <col min="43" max="43" width="10.7265625" style="26" customWidth="1"/>
    <col min="44" max="16384" width="3.453125" style="26"/>
  </cols>
  <sheetData>
    <row r="1" spans="1:42">
      <c r="A1" s="164" t="s">
        <v>85</v>
      </c>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row>
    <row r="2" spans="1:42">
      <c r="A2" s="177" t="s">
        <v>86</v>
      </c>
      <c r="B2" s="177"/>
      <c r="C2" s="177"/>
      <c r="D2" s="177"/>
      <c r="E2" s="177"/>
      <c r="F2" s="177"/>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row>
    <row r="3" spans="1:42">
      <c r="A3" s="138" t="s">
        <v>87</v>
      </c>
      <c r="B3" s="138"/>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row>
    <row r="4" spans="1:42" ht="25">
      <c r="A4" s="165" t="s">
        <v>1</v>
      </c>
      <c r="B4" s="166"/>
      <c r="C4" s="166"/>
      <c r="D4" s="166"/>
      <c r="E4" s="166"/>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7"/>
    </row>
    <row r="5" spans="1:42" ht="17.25" customHeight="1">
      <c r="A5" s="139" t="s">
        <v>88</v>
      </c>
      <c r="B5" s="140"/>
      <c r="C5" s="140"/>
      <c r="D5" s="140"/>
      <c r="E5" s="140"/>
      <c r="F5" s="140"/>
      <c r="G5" s="140"/>
      <c r="H5" s="140"/>
      <c r="I5" s="140"/>
      <c r="J5" s="140"/>
      <c r="K5" s="140"/>
      <c r="L5" s="140"/>
      <c r="M5" s="140"/>
      <c r="N5" s="140"/>
      <c r="O5" s="140"/>
      <c r="P5" s="140"/>
      <c r="Q5" s="140"/>
      <c r="R5" s="140"/>
      <c r="S5" s="140"/>
      <c r="T5" s="140"/>
      <c r="U5" s="140"/>
      <c r="V5" s="140"/>
      <c r="W5" s="140"/>
      <c r="X5" s="140"/>
      <c r="Y5" s="140"/>
      <c r="Z5" s="140"/>
      <c r="AA5" s="140"/>
      <c r="AB5" s="140"/>
      <c r="AC5" s="140"/>
      <c r="AD5" s="140"/>
      <c r="AE5" s="140"/>
      <c r="AF5" s="140"/>
      <c r="AG5" s="140"/>
      <c r="AH5" s="140"/>
      <c r="AI5" s="140"/>
      <c r="AJ5" s="140"/>
      <c r="AK5" s="140"/>
      <c r="AL5" s="140"/>
      <c r="AM5" s="140"/>
      <c r="AN5" s="140"/>
      <c r="AO5" s="141"/>
    </row>
    <row r="6" spans="1:42" ht="18" customHeight="1">
      <c r="A6" s="144" t="s">
        <v>89</v>
      </c>
      <c r="B6" s="144"/>
      <c r="C6" s="144"/>
      <c r="D6" s="144"/>
      <c r="E6" s="144"/>
      <c r="F6" s="144"/>
      <c r="G6" s="144"/>
      <c r="H6" s="143"/>
      <c r="I6" s="143"/>
      <c r="J6" s="143"/>
      <c r="K6" s="143"/>
      <c r="L6" s="143"/>
      <c r="M6" s="143"/>
      <c r="N6" s="143"/>
      <c r="O6" s="143"/>
      <c r="P6" s="143"/>
      <c r="Q6" s="152" t="s">
        <v>90</v>
      </c>
      <c r="R6" s="153"/>
      <c r="S6" s="153"/>
      <c r="T6" s="153"/>
      <c r="U6" s="153"/>
      <c r="V6" s="153"/>
      <c r="W6" s="153"/>
      <c r="X6" s="153"/>
      <c r="Y6" s="153"/>
      <c r="Z6" s="154"/>
      <c r="AA6" s="98"/>
      <c r="AB6" s="99"/>
      <c r="AC6" s="99"/>
      <c r="AD6" s="99"/>
      <c r="AE6" s="99"/>
      <c r="AF6" s="99"/>
      <c r="AG6" s="99"/>
      <c r="AH6" s="99"/>
      <c r="AI6" s="99"/>
      <c r="AJ6" s="99"/>
      <c r="AK6" s="99"/>
      <c r="AL6" s="99"/>
      <c r="AM6" s="99"/>
      <c r="AN6" s="99"/>
      <c r="AO6" s="100"/>
    </row>
    <row r="7" spans="1:42" ht="18" customHeight="1">
      <c r="A7" s="144" t="s">
        <v>91</v>
      </c>
      <c r="B7" s="144"/>
      <c r="C7" s="144"/>
      <c r="D7" s="144"/>
      <c r="E7" s="144"/>
      <c r="F7" s="144"/>
      <c r="G7" s="144"/>
      <c r="H7" s="143" t="s">
        <v>156</v>
      </c>
      <c r="I7" s="143"/>
      <c r="J7" s="143"/>
      <c r="K7" s="143"/>
      <c r="L7" s="143"/>
      <c r="M7" s="143"/>
      <c r="N7" s="143"/>
      <c r="O7" s="143"/>
      <c r="P7" s="143"/>
      <c r="Q7" s="152" t="s">
        <v>92</v>
      </c>
      <c r="R7" s="153"/>
      <c r="S7" s="153"/>
      <c r="T7" s="153"/>
      <c r="U7" s="153"/>
      <c r="V7" s="153"/>
      <c r="W7" s="153"/>
      <c r="X7" s="153"/>
      <c r="Y7" s="153"/>
      <c r="Z7" s="154"/>
      <c r="AA7" s="173"/>
      <c r="AB7" s="174"/>
      <c r="AC7" s="174"/>
      <c r="AD7" s="174"/>
      <c r="AE7" s="174"/>
      <c r="AF7" s="174"/>
      <c r="AG7" s="174"/>
      <c r="AH7" s="174"/>
      <c r="AI7" s="174"/>
      <c r="AJ7" s="174"/>
      <c r="AK7" s="174"/>
      <c r="AL7" s="174"/>
      <c r="AM7" s="174"/>
      <c r="AN7" s="174"/>
      <c r="AO7" s="175"/>
    </row>
    <row r="8" spans="1:42" ht="17.25" customHeight="1">
      <c r="A8" s="144" t="s">
        <v>93</v>
      </c>
      <c r="B8" s="144"/>
      <c r="C8" s="144"/>
      <c r="D8" s="144"/>
      <c r="E8" s="144"/>
      <c r="F8" s="144"/>
      <c r="G8" s="144"/>
      <c r="H8" s="145"/>
      <c r="I8" s="145"/>
      <c r="J8" s="145"/>
      <c r="K8" s="145"/>
      <c r="L8" s="145"/>
      <c r="M8" s="145"/>
      <c r="N8" s="145"/>
      <c r="O8" s="145"/>
      <c r="P8" s="145"/>
      <c r="Q8" s="146" t="s">
        <v>94</v>
      </c>
      <c r="R8" s="147"/>
      <c r="S8" s="147"/>
      <c r="T8" s="147"/>
      <c r="U8" s="147"/>
      <c r="V8" s="147"/>
      <c r="W8" s="147"/>
      <c r="X8" s="147"/>
      <c r="Y8" s="147"/>
      <c r="Z8" s="148"/>
      <c r="AA8" s="101" t="s">
        <v>95</v>
      </c>
      <c r="AB8" s="102"/>
      <c r="AC8" s="102"/>
      <c r="AD8" s="102"/>
      <c r="AE8" s="102"/>
      <c r="AF8" s="103"/>
      <c r="AG8" s="104"/>
      <c r="AH8" s="105"/>
      <c r="AI8" s="105"/>
      <c r="AJ8" s="105"/>
      <c r="AK8" s="105"/>
      <c r="AL8" s="105"/>
      <c r="AM8" s="105"/>
      <c r="AN8" s="105"/>
      <c r="AO8" s="106"/>
    </row>
    <row r="9" spans="1:42" ht="18" customHeight="1">
      <c r="A9" s="144"/>
      <c r="B9" s="144"/>
      <c r="C9" s="144"/>
      <c r="D9" s="144"/>
      <c r="E9" s="144"/>
      <c r="F9" s="144"/>
      <c r="G9" s="144"/>
      <c r="H9" s="145"/>
      <c r="I9" s="145"/>
      <c r="J9" s="145"/>
      <c r="K9" s="145"/>
      <c r="L9" s="145"/>
      <c r="M9" s="145"/>
      <c r="N9" s="145"/>
      <c r="O9" s="145"/>
      <c r="P9" s="145"/>
      <c r="Q9" s="149"/>
      <c r="R9" s="150"/>
      <c r="S9" s="150"/>
      <c r="T9" s="150"/>
      <c r="U9" s="150"/>
      <c r="V9" s="150"/>
      <c r="W9" s="150"/>
      <c r="X9" s="150"/>
      <c r="Y9" s="150"/>
      <c r="Z9" s="151"/>
      <c r="AA9" s="101" t="s">
        <v>96</v>
      </c>
      <c r="AB9" s="102"/>
      <c r="AC9" s="102"/>
      <c r="AD9" s="102"/>
      <c r="AE9" s="102"/>
      <c r="AF9" s="103"/>
      <c r="AG9" s="101"/>
      <c r="AH9" s="102"/>
      <c r="AI9" s="102"/>
      <c r="AJ9" s="102"/>
      <c r="AK9" s="102"/>
      <c r="AL9" s="102"/>
      <c r="AM9" s="102"/>
      <c r="AN9" s="102"/>
      <c r="AO9" s="103"/>
    </row>
    <row r="10" spans="1:42" ht="19.5" customHeight="1">
      <c r="A10" s="146" t="s">
        <v>97</v>
      </c>
      <c r="B10" s="147"/>
      <c r="C10" s="147"/>
      <c r="D10" s="147"/>
      <c r="E10" s="147"/>
      <c r="F10" s="147"/>
      <c r="G10" s="148"/>
      <c r="H10" s="143" t="s">
        <v>131</v>
      </c>
      <c r="I10" s="143"/>
      <c r="J10" s="143"/>
      <c r="K10" s="143"/>
      <c r="L10" s="143"/>
      <c r="M10" s="143"/>
      <c r="N10" s="143"/>
      <c r="O10" s="143"/>
      <c r="P10" s="143"/>
      <c r="Q10" s="143"/>
      <c r="R10" s="143"/>
      <c r="S10" s="143"/>
      <c r="T10" s="143"/>
      <c r="U10" s="143"/>
      <c r="V10" s="143"/>
      <c r="W10" s="143"/>
      <c r="X10" s="143"/>
      <c r="Y10" s="143"/>
      <c r="Z10" s="143"/>
      <c r="AA10" s="142" t="s">
        <v>98</v>
      </c>
      <c r="AB10" s="142"/>
      <c r="AC10" s="142"/>
      <c r="AD10" s="142"/>
      <c r="AE10" s="142"/>
      <c r="AF10" s="142"/>
      <c r="AG10" s="156"/>
      <c r="AH10" s="156"/>
      <c r="AI10" s="156"/>
      <c r="AJ10" s="156"/>
      <c r="AK10" s="156"/>
      <c r="AL10" s="156"/>
      <c r="AM10" s="156"/>
      <c r="AN10" s="156"/>
      <c r="AO10" s="157"/>
    </row>
    <row r="11" spans="1:42" ht="18" customHeight="1">
      <c r="A11" s="149"/>
      <c r="B11" s="150"/>
      <c r="C11" s="150"/>
      <c r="D11" s="150"/>
      <c r="E11" s="150"/>
      <c r="F11" s="150"/>
      <c r="G11" s="151"/>
      <c r="H11" s="143" t="s">
        <v>130</v>
      </c>
      <c r="I11" s="143"/>
      <c r="J11" s="143"/>
      <c r="K11" s="143"/>
      <c r="L11" s="143"/>
      <c r="M11" s="143"/>
      <c r="N11" s="143"/>
      <c r="O11" s="143"/>
      <c r="P11" s="143"/>
      <c r="Q11" s="143"/>
      <c r="R11" s="143"/>
      <c r="S11" s="143"/>
      <c r="T11" s="143"/>
      <c r="U11" s="143"/>
      <c r="V11" s="143"/>
      <c r="W11" s="143"/>
      <c r="X11" s="143"/>
      <c r="Y11" s="143"/>
      <c r="Z11" s="143"/>
      <c r="AA11" s="155" t="s">
        <v>99</v>
      </c>
      <c r="AB11" s="156"/>
      <c r="AC11" s="156"/>
      <c r="AD11" s="156"/>
      <c r="AE11" s="156"/>
      <c r="AF11" s="156"/>
      <c r="AG11" s="170"/>
      <c r="AH11" s="171"/>
      <c r="AI11" s="171"/>
      <c r="AJ11" s="171"/>
      <c r="AK11" s="171"/>
      <c r="AL11" s="171"/>
      <c r="AM11" s="171"/>
      <c r="AN11" s="171"/>
      <c r="AO11" s="172"/>
    </row>
    <row r="12" spans="1:42">
      <c r="A12" s="94"/>
      <c r="B12" s="128" t="s">
        <v>100</v>
      </c>
      <c r="C12" s="129"/>
      <c r="D12" s="129"/>
      <c r="E12" s="129"/>
      <c r="F12" s="129"/>
      <c r="G12" s="130"/>
      <c r="H12" s="107"/>
      <c r="I12" s="107"/>
      <c r="J12" s="107"/>
      <c r="K12" s="107"/>
      <c r="L12" s="107"/>
      <c r="M12" s="107"/>
      <c r="N12" s="107"/>
      <c r="O12" s="107"/>
      <c r="P12" s="107"/>
      <c r="Q12" s="176"/>
      <c r="R12" s="176"/>
      <c r="S12" s="176"/>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37"/>
    </row>
    <row r="13" spans="1:42">
      <c r="A13" s="137"/>
      <c r="B13" s="131"/>
      <c r="C13" s="132"/>
      <c r="D13" s="132"/>
      <c r="E13" s="132"/>
      <c r="F13" s="132"/>
      <c r="G13" s="133"/>
      <c r="H13" s="158"/>
      <c r="I13" s="159"/>
      <c r="J13" s="159"/>
      <c r="K13" s="159"/>
      <c r="L13" s="159"/>
      <c r="M13" s="159"/>
      <c r="N13" s="160"/>
      <c r="O13" s="54"/>
      <c r="P13" s="54"/>
      <c r="Q13" s="161"/>
      <c r="R13" s="162"/>
      <c r="S13" s="162"/>
      <c r="T13" s="162"/>
      <c r="U13" s="162"/>
      <c r="V13" s="162"/>
      <c r="W13" s="162"/>
      <c r="X13" s="162"/>
      <c r="Y13" s="162"/>
      <c r="Z13" s="162"/>
      <c r="AA13" s="162"/>
      <c r="AB13" s="162"/>
      <c r="AC13" s="162"/>
      <c r="AD13" s="162"/>
      <c r="AE13" s="162"/>
      <c r="AF13" s="162"/>
      <c r="AG13" s="162"/>
      <c r="AH13" s="162"/>
      <c r="AI13" s="162"/>
      <c r="AJ13" s="162"/>
      <c r="AK13" s="162"/>
      <c r="AL13" s="162"/>
      <c r="AM13" s="162"/>
      <c r="AN13" s="162"/>
      <c r="AO13" s="163"/>
      <c r="AP13" s="37"/>
    </row>
    <row r="14" spans="1:42">
      <c r="A14" s="137"/>
      <c r="B14" s="134"/>
      <c r="C14" s="135"/>
      <c r="D14" s="135"/>
      <c r="E14" s="135"/>
      <c r="F14" s="135"/>
      <c r="G14" s="136"/>
      <c r="H14" s="107"/>
      <c r="I14" s="107"/>
      <c r="J14" s="107"/>
      <c r="K14" s="107"/>
      <c r="L14" s="107"/>
      <c r="M14" s="107"/>
      <c r="N14" s="107"/>
      <c r="O14" s="107"/>
      <c r="P14" s="107"/>
      <c r="Q14" s="176"/>
      <c r="R14" s="176"/>
      <c r="S14" s="176"/>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c r="AP14" s="35"/>
    </row>
    <row r="15" spans="1:42" ht="18" customHeight="1">
      <c r="A15" s="139" t="s">
        <v>101</v>
      </c>
      <c r="B15" s="140"/>
      <c r="C15" s="140"/>
      <c r="D15" s="140"/>
      <c r="E15" s="140"/>
      <c r="F15" s="140"/>
      <c r="G15" s="140"/>
      <c r="H15" s="140"/>
      <c r="I15" s="140"/>
      <c r="J15" s="140"/>
      <c r="K15" s="140"/>
      <c r="L15" s="140"/>
      <c r="M15" s="140"/>
      <c r="N15" s="140"/>
      <c r="O15" s="140"/>
      <c r="P15" s="140"/>
      <c r="Q15" s="140"/>
      <c r="R15" s="140"/>
      <c r="S15" s="140"/>
      <c r="T15" s="140"/>
      <c r="U15" s="140"/>
      <c r="V15" s="140"/>
      <c r="W15" s="140"/>
      <c r="X15" s="140"/>
      <c r="Y15" s="140"/>
      <c r="Z15" s="140"/>
      <c r="AA15" s="140"/>
      <c r="AB15" s="140"/>
      <c r="AC15" s="140"/>
      <c r="AD15" s="140"/>
      <c r="AE15" s="140"/>
      <c r="AF15" s="140"/>
      <c r="AG15" s="140"/>
      <c r="AH15" s="140"/>
      <c r="AI15" s="140"/>
      <c r="AJ15" s="140"/>
      <c r="AK15" s="140"/>
      <c r="AL15" s="140"/>
      <c r="AM15" s="140"/>
      <c r="AN15" s="140"/>
      <c r="AO15" s="141"/>
    </row>
    <row r="16" spans="1:42">
      <c r="A16" s="52" t="s">
        <v>102</v>
      </c>
      <c r="B16" s="108" t="s">
        <v>103</v>
      </c>
      <c r="C16" s="108"/>
      <c r="D16" s="108"/>
      <c r="E16" s="108"/>
      <c r="F16" s="108"/>
      <c r="G16" s="108"/>
      <c r="H16" s="108" t="s">
        <v>104</v>
      </c>
      <c r="I16" s="108"/>
      <c r="J16" s="108"/>
      <c r="K16" s="108"/>
      <c r="L16" s="108"/>
      <c r="M16" s="108"/>
      <c r="N16" s="108"/>
      <c r="O16" s="108"/>
      <c r="P16" s="108"/>
      <c r="Q16" s="108" t="s">
        <v>105</v>
      </c>
      <c r="R16" s="108"/>
      <c r="S16" s="108"/>
      <c r="T16" s="108"/>
      <c r="U16" s="108"/>
      <c r="V16" s="108"/>
      <c r="W16" s="108"/>
      <c r="X16" s="108"/>
      <c r="Y16" s="108"/>
      <c r="Z16" s="108"/>
      <c r="AA16" s="108"/>
      <c r="AB16" s="108"/>
      <c r="AC16" s="108"/>
      <c r="AD16" s="108"/>
      <c r="AE16" s="108"/>
      <c r="AF16" s="108"/>
      <c r="AG16" s="108"/>
      <c r="AH16" s="108"/>
      <c r="AI16" s="108" t="s">
        <v>106</v>
      </c>
      <c r="AJ16" s="108"/>
      <c r="AK16" s="108"/>
      <c r="AL16" s="108"/>
      <c r="AM16" s="108" t="s">
        <v>107</v>
      </c>
      <c r="AN16" s="108"/>
      <c r="AO16" s="108"/>
    </row>
    <row r="17" spans="1:42" ht="79.5" customHeight="1" collapsed="1">
      <c r="A17" s="94">
        <v>1</v>
      </c>
      <c r="B17" s="128" t="s">
        <v>138</v>
      </c>
      <c r="C17" s="129"/>
      <c r="D17" s="129"/>
      <c r="E17" s="129"/>
      <c r="F17" s="129"/>
      <c r="G17" s="130"/>
      <c r="H17" s="178" t="s">
        <v>139</v>
      </c>
      <c r="I17" s="179"/>
      <c r="J17" s="179"/>
      <c r="K17" s="179"/>
      <c r="L17" s="179"/>
      <c r="M17" s="179"/>
      <c r="N17" s="179"/>
      <c r="O17" s="179"/>
      <c r="P17" s="180"/>
      <c r="Q17" s="109" t="s">
        <v>155</v>
      </c>
      <c r="R17" s="110"/>
      <c r="S17" s="110"/>
      <c r="T17" s="110"/>
      <c r="U17" s="110"/>
      <c r="V17" s="110"/>
      <c r="W17" s="110"/>
      <c r="X17" s="110"/>
      <c r="Y17" s="110"/>
      <c r="Z17" s="110"/>
      <c r="AA17" s="110"/>
      <c r="AB17" s="110"/>
      <c r="AC17" s="110"/>
      <c r="AD17" s="110"/>
      <c r="AE17" s="110"/>
      <c r="AF17" s="110"/>
      <c r="AG17" s="110"/>
      <c r="AH17" s="111"/>
      <c r="AI17" s="117">
        <v>0.1</v>
      </c>
      <c r="AJ17" s="118"/>
      <c r="AK17" s="118"/>
      <c r="AL17" s="119"/>
      <c r="AM17" s="114" t="s">
        <v>151</v>
      </c>
      <c r="AN17" s="115"/>
      <c r="AO17" s="116"/>
      <c r="AP17" s="36">
        <f>AI17*VLOOKUP(AM17,Reference!G2:H4,2,0)</f>
        <v>0.25</v>
      </c>
    </row>
    <row r="18" spans="1:42" s="60" customFormat="1" ht="59" customHeight="1" collapsed="1">
      <c r="A18" s="95"/>
      <c r="B18" s="134"/>
      <c r="C18" s="135"/>
      <c r="D18" s="135"/>
      <c r="E18" s="135"/>
      <c r="F18" s="135"/>
      <c r="G18" s="136"/>
      <c r="H18" s="233" t="s">
        <v>140</v>
      </c>
      <c r="I18" s="234"/>
      <c r="J18" s="234"/>
      <c r="K18" s="234"/>
      <c r="L18" s="234"/>
      <c r="M18" s="234"/>
      <c r="N18" s="234"/>
      <c r="O18" s="234"/>
      <c r="P18" s="235"/>
      <c r="Q18" s="236" t="s">
        <v>159</v>
      </c>
      <c r="R18" s="237"/>
      <c r="S18" s="237"/>
      <c r="T18" s="237"/>
      <c r="U18" s="237"/>
      <c r="V18" s="237"/>
      <c r="W18" s="237"/>
      <c r="X18" s="237"/>
      <c r="Y18" s="237"/>
      <c r="Z18" s="237"/>
      <c r="AA18" s="237"/>
      <c r="AB18" s="237"/>
      <c r="AC18" s="237"/>
      <c r="AD18" s="237"/>
      <c r="AE18" s="237"/>
      <c r="AF18" s="237"/>
      <c r="AG18" s="237"/>
      <c r="AH18" s="238"/>
      <c r="AI18" s="239">
        <v>0.1</v>
      </c>
      <c r="AJ18" s="240"/>
      <c r="AK18" s="240"/>
      <c r="AL18" s="241"/>
      <c r="AM18" s="114" t="s">
        <v>141</v>
      </c>
      <c r="AN18" s="115"/>
      <c r="AO18" s="116"/>
      <c r="AP18" s="36">
        <f>AI18*VLOOKUP(AM18,Reference!$A$2:$B$5,2,0)</f>
        <v>0.5</v>
      </c>
    </row>
    <row r="19" spans="1:42" ht="21" customHeight="1">
      <c r="A19" s="53">
        <v>2</v>
      </c>
      <c r="B19" s="232" t="s">
        <v>129</v>
      </c>
      <c r="C19" s="232"/>
      <c r="D19" s="232"/>
      <c r="E19" s="232"/>
      <c r="F19" s="232"/>
      <c r="G19" s="232"/>
      <c r="H19" s="120" t="s">
        <v>109</v>
      </c>
      <c r="I19" s="121"/>
      <c r="J19" s="121"/>
      <c r="K19" s="121"/>
      <c r="L19" s="121"/>
      <c r="M19" s="121"/>
      <c r="N19" s="121"/>
      <c r="O19" s="121"/>
      <c r="P19" s="122"/>
      <c r="Q19" s="109"/>
      <c r="R19" s="110"/>
      <c r="S19" s="110"/>
      <c r="T19" s="110"/>
      <c r="U19" s="110"/>
      <c r="V19" s="110"/>
      <c r="W19" s="110"/>
      <c r="X19" s="110"/>
      <c r="Y19" s="110"/>
      <c r="Z19" s="110"/>
      <c r="AA19" s="110"/>
      <c r="AB19" s="110"/>
      <c r="AC19" s="110"/>
      <c r="AD19" s="110"/>
      <c r="AE19" s="110"/>
      <c r="AF19" s="110"/>
      <c r="AG19" s="110"/>
      <c r="AH19" s="111"/>
      <c r="AI19" s="112">
        <v>0.1</v>
      </c>
      <c r="AJ19" s="113"/>
      <c r="AK19" s="113"/>
      <c r="AL19" s="113"/>
      <c r="AM19" s="114">
        <v>3</v>
      </c>
      <c r="AN19" s="115"/>
      <c r="AO19" s="116"/>
      <c r="AP19" s="36">
        <f>AI19*AM19</f>
        <v>0.30000000000000004</v>
      </c>
    </row>
    <row r="20" spans="1:42" s="45" customFormat="1" ht="29" customHeight="1">
      <c r="A20" s="206">
        <v>3</v>
      </c>
      <c r="B20" s="216" t="s">
        <v>108</v>
      </c>
      <c r="C20" s="217"/>
      <c r="D20" s="217"/>
      <c r="E20" s="217"/>
      <c r="F20" s="217"/>
      <c r="G20" s="218"/>
      <c r="H20" s="120" t="s">
        <v>132</v>
      </c>
      <c r="I20" s="121"/>
      <c r="J20" s="121"/>
      <c r="K20" s="121"/>
      <c r="L20" s="121"/>
      <c r="M20" s="121"/>
      <c r="N20" s="121"/>
      <c r="O20" s="121"/>
      <c r="P20" s="122"/>
      <c r="Q20" s="123"/>
      <c r="R20" s="124"/>
      <c r="S20" s="124"/>
      <c r="T20" s="124"/>
      <c r="U20" s="124"/>
      <c r="V20" s="124"/>
      <c r="W20" s="124"/>
      <c r="X20" s="124"/>
      <c r="Y20" s="124"/>
      <c r="Z20" s="124"/>
      <c r="AA20" s="124"/>
      <c r="AB20" s="124"/>
      <c r="AC20" s="124"/>
      <c r="AD20" s="124"/>
      <c r="AE20" s="124"/>
      <c r="AF20" s="124"/>
      <c r="AG20" s="124"/>
      <c r="AH20" s="125"/>
      <c r="AI20" s="117">
        <v>0.12</v>
      </c>
      <c r="AJ20" s="126"/>
      <c r="AK20" s="126"/>
      <c r="AL20" s="127"/>
      <c r="AM20" s="114">
        <v>4</v>
      </c>
      <c r="AN20" s="115"/>
      <c r="AO20" s="116"/>
      <c r="AP20" s="36">
        <f t="shared" ref="AP20:AP27" si="0">AI20*AM20</f>
        <v>0.48</v>
      </c>
    </row>
    <row r="21" spans="1:42" ht="28" customHeight="1">
      <c r="A21" s="207"/>
      <c r="B21" s="219"/>
      <c r="C21" s="220"/>
      <c r="D21" s="220"/>
      <c r="E21" s="220"/>
      <c r="F21" s="220"/>
      <c r="G21" s="221"/>
      <c r="H21" s="191" t="s">
        <v>135</v>
      </c>
      <c r="I21" s="223"/>
      <c r="J21" s="223"/>
      <c r="K21" s="223"/>
      <c r="L21" s="223"/>
      <c r="M21" s="223"/>
      <c r="N21" s="223"/>
      <c r="O21" s="223"/>
      <c r="P21" s="224"/>
      <c r="Q21" s="123"/>
      <c r="R21" s="124"/>
      <c r="S21" s="124"/>
      <c r="T21" s="124"/>
      <c r="U21" s="124"/>
      <c r="V21" s="124"/>
      <c r="W21" s="124"/>
      <c r="X21" s="124"/>
      <c r="Y21" s="124"/>
      <c r="Z21" s="124"/>
      <c r="AA21" s="124"/>
      <c r="AB21" s="124"/>
      <c r="AC21" s="124"/>
      <c r="AD21" s="124"/>
      <c r="AE21" s="124"/>
      <c r="AF21" s="124"/>
      <c r="AG21" s="124"/>
      <c r="AH21" s="125"/>
      <c r="AI21" s="117">
        <v>0.22</v>
      </c>
      <c r="AJ21" s="126"/>
      <c r="AK21" s="126"/>
      <c r="AL21" s="127"/>
      <c r="AM21" s="114">
        <v>4</v>
      </c>
      <c r="AN21" s="115"/>
      <c r="AO21" s="116"/>
      <c r="AP21" s="36">
        <f t="shared" si="0"/>
        <v>0.88</v>
      </c>
    </row>
    <row r="22" spans="1:42" ht="25" customHeight="1">
      <c r="A22" s="207"/>
      <c r="B22" s="219"/>
      <c r="C22" s="220"/>
      <c r="D22" s="220"/>
      <c r="E22" s="220"/>
      <c r="F22" s="220"/>
      <c r="G22" s="221"/>
      <c r="H22" s="191" t="s">
        <v>134</v>
      </c>
      <c r="I22" s="223"/>
      <c r="J22" s="223"/>
      <c r="K22" s="223"/>
      <c r="L22" s="223"/>
      <c r="M22" s="223"/>
      <c r="N22" s="223"/>
      <c r="O22" s="56"/>
      <c r="P22" s="57"/>
      <c r="Q22" s="123"/>
      <c r="R22" s="124"/>
      <c r="S22" s="124"/>
      <c r="T22" s="124"/>
      <c r="U22" s="124"/>
      <c r="V22" s="124"/>
      <c r="W22" s="124"/>
      <c r="X22" s="124"/>
      <c r="Y22" s="124"/>
      <c r="Z22" s="124"/>
      <c r="AA22" s="124"/>
      <c r="AB22" s="124"/>
      <c r="AC22" s="124"/>
      <c r="AD22" s="124"/>
      <c r="AE22" s="124"/>
      <c r="AF22" s="124"/>
      <c r="AG22" s="124"/>
      <c r="AH22" s="125"/>
      <c r="AI22" s="117">
        <v>0.1</v>
      </c>
      <c r="AJ22" s="126"/>
      <c r="AK22" s="126"/>
      <c r="AL22" s="127"/>
      <c r="AM22" s="114">
        <v>4</v>
      </c>
      <c r="AN22" s="115"/>
      <c r="AO22" s="116"/>
      <c r="AP22" s="36">
        <f t="shared" si="0"/>
        <v>0.4</v>
      </c>
    </row>
    <row r="23" spans="1:42" ht="29" customHeight="1">
      <c r="A23" s="207"/>
      <c r="B23" s="219"/>
      <c r="C23" s="220"/>
      <c r="D23" s="220"/>
      <c r="E23" s="220"/>
      <c r="F23" s="220"/>
      <c r="G23" s="221"/>
      <c r="H23" s="191" t="s">
        <v>133</v>
      </c>
      <c r="I23" s="192"/>
      <c r="J23" s="192"/>
      <c r="K23" s="192"/>
      <c r="L23" s="192"/>
      <c r="M23" s="192"/>
      <c r="N23" s="192"/>
      <c r="O23" s="192"/>
      <c r="P23" s="193"/>
      <c r="Q23" s="187"/>
      <c r="R23" s="188"/>
      <c r="S23" s="188"/>
      <c r="T23" s="188"/>
      <c r="U23" s="188"/>
      <c r="V23" s="188"/>
      <c r="W23" s="188"/>
      <c r="X23" s="188"/>
      <c r="Y23" s="188"/>
      <c r="Z23" s="188"/>
      <c r="AA23" s="188"/>
      <c r="AB23" s="188"/>
      <c r="AC23" s="188"/>
      <c r="AD23" s="188"/>
      <c r="AE23" s="188"/>
      <c r="AF23" s="188"/>
      <c r="AG23" s="188"/>
      <c r="AH23" s="189"/>
      <c r="AI23" s="117">
        <v>0.1</v>
      </c>
      <c r="AJ23" s="118"/>
      <c r="AK23" s="118"/>
      <c r="AL23" s="119"/>
      <c r="AM23" s="114">
        <v>4</v>
      </c>
      <c r="AN23" s="115"/>
      <c r="AO23" s="116"/>
      <c r="AP23" s="36">
        <f t="shared" si="0"/>
        <v>0.4</v>
      </c>
    </row>
    <row r="24" spans="1:42" ht="28" customHeight="1">
      <c r="A24" s="94">
        <v>4</v>
      </c>
      <c r="B24" s="128" t="s">
        <v>110</v>
      </c>
      <c r="C24" s="129"/>
      <c r="D24" s="129"/>
      <c r="E24" s="129"/>
      <c r="F24" s="129"/>
      <c r="G24" s="130"/>
      <c r="H24" s="212" t="s">
        <v>160</v>
      </c>
      <c r="I24" s="213"/>
      <c r="J24" s="213"/>
      <c r="K24" s="213"/>
      <c r="L24" s="213"/>
      <c r="M24" s="213"/>
      <c r="N24" s="213"/>
      <c r="O24" s="58"/>
      <c r="P24" s="59"/>
      <c r="Q24" s="187"/>
      <c r="R24" s="214"/>
      <c r="S24" s="214"/>
      <c r="T24" s="214"/>
      <c r="U24" s="214"/>
      <c r="V24" s="214"/>
      <c r="W24" s="214"/>
      <c r="X24" s="214"/>
      <c r="Y24" s="214"/>
      <c r="Z24" s="214"/>
      <c r="AA24" s="214"/>
      <c r="AB24" s="214"/>
      <c r="AC24" s="214"/>
      <c r="AD24" s="214"/>
      <c r="AE24" s="214"/>
      <c r="AF24" s="214"/>
      <c r="AG24" s="214"/>
      <c r="AH24" s="215"/>
      <c r="AI24" s="209">
        <v>0.05</v>
      </c>
      <c r="AJ24" s="210"/>
      <c r="AK24" s="210"/>
      <c r="AL24" s="211"/>
      <c r="AM24" s="114">
        <v>4</v>
      </c>
      <c r="AN24" s="115"/>
      <c r="AO24" s="116"/>
      <c r="AP24" s="36">
        <f t="shared" si="0"/>
        <v>0.2</v>
      </c>
    </row>
    <row r="25" spans="1:42" ht="24.5" customHeight="1">
      <c r="A25" s="137"/>
      <c r="B25" s="131"/>
      <c r="C25" s="132"/>
      <c r="D25" s="132"/>
      <c r="E25" s="132"/>
      <c r="F25" s="132"/>
      <c r="G25" s="133"/>
      <c r="H25" s="182" t="s">
        <v>111</v>
      </c>
      <c r="I25" s="182"/>
      <c r="J25" s="182"/>
      <c r="K25" s="182"/>
      <c r="L25" s="182"/>
      <c r="M25" s="182"/>
      <c r="N25" s="182"/>
      <c r="O25" s="182"/>
      <c r="P25" s="182"/>
      <c r="Q25" s="208"/>
      <c r="R25" s="205"/>
      <c r="S25" s="205"/>
      <c r="T25" s="205"/>
      <c r="U25" s="205"/>
      <c r="V25" s="205"/>
      <c r="W25" s="205"/>
      <c r="X25" s="205"/>
      <c r="Y25" s="205"/>
      <c r="Z25" s="205"/>
      <c r="AA25" s="205"/>
      <c r="AB25" s="205"/>
      <c r="AC25" s="205"/>
      <c r="AD25" s="205"/>
      <c r="AE25" s="205"/>
      <c r="AF25" s="205"/>
      <c r="AG25" s="205"/>
      <c r="AH25" s="205"/>
      <c r="AI25" s="112">
        <v>0.02</v>
      </c>
      <c r="AJ25" s="113"/>
      <c r="AK25" s="113"/>
      <c r="AL25" s="113"/>
      <c r="AM25" s="114">
        <v>4</v>
      </c>
      <c r="AN25" s="115"/>
      <c r="AO25" s="116"/>
      <c r="AP25" s="36">
        <f t="shared" si="0"/>
        <v>0.08</v>
      </c>
    </row>
    <row r="26" spans="1:42" ht="26" customHeight="1">
      <c r="A26" s="137"/>
      <c r="B26" s="131"/>
      <c r="C26" s="132"/>
      <c r="D26" s="132"/>
      <c r="E26" s="132"/>
      <c r="F26" s="132"/>
      <c r="G26" s="133"/>
      <c r="H26" s="181" t="s">
        <v>112</v>
      </c>
      <c r="I26" s="182"/>
      <c r="J26" s="182"/>
      <c r="K26" s="182"/>
      <c r="L26" s="182"/>
      <c r="M26" s="182"/>
      <c r="N26" s="182"/>
      <c r="O26" s="182"/>
      <c r="P26" s="182"/>
      <c r="Q26" s="204"/>
      <c r="R26" s="205"/>
      <c r="S26" s="205"/>
      <c r="T26" s="205"/>
      <c r="U26" s="205"/>
      <c r="V26" s="205"/>
      <c r="W26" s="205"/>
      <c r="X26" s="205"/>
      <c r="Y26" s="205"/>
      <c r="Z26" s="205"/>
      <c r="AA26" s="205"/>
      <c r="AB26" s="205"/>
      <c r="AC26" s="205"/>
      <c r="AD26" s="205"/>
      <c r="AE26" s="205"/>
      <c r="AF26" s="205"/>
      <c r="AG26" s="205"/>
      <c r="AH26" s="205"/>
      <c r="AI26" s="112">
        <v>0.02</v>
      </c>
      <c r="AJ26" s="113"/>
      <c r="AK26" s="113"/>
      <c r="AL26" s="113"/>
      <c r="AM26" s="114">
        <v>4</v>
      </c>
      <c r="AN26" s="115"/>
      <c r="AO26" s="116"/>
      <c r="AP26" s="36">
        <f t="shared" si="0"/>
        <v>0.08</v>
      </c>
    </row>
    <row r="27" spans="1:42" ht="22" customHeight="1">
      <c r="A27" s="95"/>
      <c r="B27" s="134"/>
      <c r="C27" s="135"/>
      <c r="D27" s="135"/>
      <c r="E27" s="135"/>
      <c r="F27" s="135"/>
      <c r="G27" s="136"/>
      <c r="H27" s="181" t="s">
        <v>113</v>
      </c>
      <c r="I27" s="182"/>
      <c r="J27" s="182"/>
      <c r="K27" s="182"/>
      <c r="L27" s="182"/>
      <c r="M27" s="182"/>
      <c r="N27" s="182"/>
      <c r="O27" s="182"/>
      <c r="P27" s="182"/>
      <c r="Q27" s="208"/>
      <c r="R27" s="222"/>
      <c r="S27" s="222"/>
      <c r="T27" s="222"/>
      <c r="U27" s="222"/>
      <c r="V27" s="222"/>
      <c r="W27" s="222"/>
      <c r="X27" s="222"/>
      <c r="Y27" s="222"/>
      <c r="Z27" s="222"/>
      <c r="AA27" s="222"/>
      <c r="AB27" s="222"/>
      <c r="AC27" s="222"/>
      <c r="AD27" s="222"/>
      <c r="AE27" s="222"/>
      <c r="AF27" s="222"/>
      <c r="AG27" s="222"/>
      <c r="AH27" s="222"/>
      <c r="AI27" s="112">
        <v>0.02</v>
      </c>
      <c r="AJ27" s="113"/>
      <c r="AK27" s="113"/>
      <c r="AL27" s="113"/>
      <c r="AM27" s="114">
        <v>4</v>
      </c>
      <c r="AN27" s="115"/>
      <c r="AO27" s="116"/>
      <c r="AP27" s="36">
        <f t="shared" si="0"/>
        <v>0.08</v>
      </c>
    </row>
    <row r="28" spans="1:42" ht="64" customHeight="1">
      <c r="A28" s="55">
        <v>5</v>
      </c>
      <c r="B28" s="225" t="s">
        <v>114</v>
      </c>
      <c r="C28" s="226"/>
      <c r="D28" s="226"/>
      <c r="E28" s="226"/>
      <c r="F28" s="226"/>
      <c r="G28" s="227"/>
      <c r="H28" s="228" t="s">
        <v>115</v>
      </c>
      <c r="I28" s="229"/>
      <c r="J28" s="229"/>
      <c r="K28" s="229"/>
      <c r="L28" s="229"/>
      <c r="M28" s="229"/>
      <c r="N28" s="229"/>
      <c r="O28" s="229"/>
      <c r="P28" s="230"/>
      <c r="Q28" s="169" t="s">
        <v>161</v>
      </c>
      <c r="R28" s="231"/>
      <c r="S28" s="231"/>
      <c r="T28" s="231"/>
      <c r="U28" s="231"/>
      <c r="V28" s="231"/>
      <c r="W28" s="231"/>
      <c r="X28" s="231"/>
      <c r="Y28" s="231"/>
      <c r="Z28" s="231"/>
      <c r="AA28" s="231"/>
      <c r="AB28" s="231"/>
      <c r="AC28" s="231"/>
      <c r="AD28" s="231"/>
      <c r="AE28" s="231"/>
      <c r="AF28" s="231"/>
      <c r="AG28" s="231"/>
      <c r="AH28" s="231"/>
      <c r="AI28" s="112">
        <v>0.05</v>
      </c>
      <c r="AJ28" s="113"/>
      <c r="AK28" s="113"/>
      <c r="AL28" s="113"/>
      <c r="AM28" s="117" t="s">
        <v>148</v>
      </c>
      <c r="AN28" s="118"/>
      <c r="AO28" s="119"/>
      <c r="AP28" s="36">
        <f>AI28*VLOOKUP(AM28,Reference!$A$2:$B$5,2,0)</f>
        <v>0.1</v>
      </c>
    </row>
    <row r="29" spans="1:42" ht="108" customHeight="1">
      <c r="A29" s="51">
        <v>6</v>
      </c>
      <c r="B29" s="128" t="s">
        <v>116</v>
      </c>
      <c r="C29" s="129"/>
      <c r="D29" s="129"/>
      <c r="E29" s="129"/>
      <c r="F29" s="129"/>
      <c r="G29" s="130"/>
      <c r="H29" s="168" t="s">
        <v>142</v>
      </c>
      <c r="I29" s="168"/>
      <c r="J29" s="168"/>
      <c r="K29" s="168"/>
      <c r="L29" s="168"/>
      <c r="M29" s="168"/>
      <c r="N29" s="168"/>
      <c r="O29" s="168"/>
      <c r="P29" s="168"/>
      <c r="Q29" s="169" t="s">
        <v>144</v>
      </c>
      <c r="R29" s="168"/>
      <c r="S29" s="168"/>
      <c r="T29" s="168"/>
      <c r="U29" s="168"/>
      <c r="V29" s="168"/>
      <c r="W29" s="168"/>
      <c r="X29" s="168"/>
      <c r="Y29" s="168"/>
      <c r="Z29" s="168"/>
      <c r="AA29" s="168"/>
      <c r="AB29" s="168"/>
      <c r="AC29" s="168"/>
      <c r="AD29" s="168"/>
      <c r="AE29" s="168"/>
      <c r="AF29" s="168"/>
      <c r="AG29" s="168"/>
      <c r="AH29" s="168"/>
      <c r="AI29" s="112">
        <v>0.1</v>
      </c>
      <c r="AJ29" s="113"/>
      <c r="AK29" s="113"/>
      <c r="AL29" s="113"/>
      <c r="AM29" s="201" t="s">
        <v>145</v>
      </c>
      <c r="AN29" s="202"/>
      <c r="AO29" s="203"/>
      <c r="AP29" s="36">
        <f>AI29*VLOOKUP(AM29,Reference!C2:D4,2,0)</f>
        <v>0.5</v>
      </c>
    </row>
    <row r="30" spans="1:42">
      <c r="A30" s="96" t="s">
        <v>117</v>
      </c>
      <c r="B30" s="96"/>
      <c r="C30" s="96"/>
      <c r="D30" s="96"/>
      <c r="E30" s="96"/>
      <c r="F30" s="96"/>
      <c r="G30" s="96"/>
      <c r="H30" s="9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96"/>
      <c r="AH30" s="96"/>
      <c r="AI30" s="198">
        <f>SUM(AP17:AP29)</f>
        <v>4.25</v>
      </c>
      <c r="AJ30" s="199"/>
      <c r="AK30" s="199"/>
      <c r="AL30" s="199"/>
      <c r="AM30" s="199"/>
      <c r="AN30" s="199"/>
      <c r="AO30" s="200"/>
      <c r="AP30" s="36"/>
    </row>
    <row r="31" spans="1:42">
      <c r="A31" s="96" t="s">
        <v>118</v>
      </c>
      <c r="B31" s="96"/>
      <c r="C31" s="96"/>
      <c r="D31" s="96"/>
      <c r="E31" s="96"/>
      <c r="F31" s="96"/>
      <c r="G31" s="96"/>
      <c r="H31" s="96"/>
      <c r="I31" s="96"/>
      <c r="J31" s="96"/>
      <c r="K31" s="96"/>
      <c r="L31" s="96"/>
      <c r="M31" s="96"/>
      <c r="N31" s="96"/>
      <c r="O31" s="96"/>
      <c r="P31" s="96"/>
      <c r="Q31" s="96"/>
      <c r="R31" s="96"/>
      <c r="S31" s="96"/>
      <c r="T31" s="96"/>
      <c r="U31" s="96"/>
      <c r="V31" s="96"/>
      <c r="W31" s="96"/>
      <c r="X31" s="96"/>
      <c r="Y31" s="96"/>
      <c r="Z31" s="96"/>
      <c r="AA31" s="96"/>
      <c r="AB31" s="96"/>
      <c r="AC31" s="96"/>
      <c r="AD31" s="96"/>
      <c r="AE31" s="96"/>
      <c r="AF31" s="96"/>
      <c r="AG31" s="96"/>
      <c r="AH31" s="96"/>
      <c r="AI31" s="97" t="str">
        <f>IF(AI30+AI32&gt;=4.8,"DEV02",IF(AI30+AI32&gt;=2.8,"DEV01","DEV0"))</f>
        <v>DEV01</v>
      </c>
      <c r="AJ31" s="97" t="str">
        <f t="shared" ref="AJ31:AO31" si="1">IF(AJ30&gt;5.4,"DEV06",IF(AJ30&gt;5.1,"DEV05",IF(AJ30&gt;4,"DEV04",IF(AJ30&gt;3,"DEV03",IF(AJ30&gt;2.5,"DEV02","F")))))</f>
        <v>F</v>
      </c>
      <c r="AK31" s="97" t="str">
        <f t="shared" si="1"/>
        <v>F</v>
      </c>
      <c r="AL31" s="97" t="str">
        <f t="shared" si="1"/>
        <v>F</v>
      </c>
      <c r="AM31" s="97" t="str">
        <f t="shared" si="1"/>
        <v>F</v>
      </c>
      <c r="AN31" s="97" t="str">
        <f t="shared" si="1"/>
        <v>F</v>
      </c>
      <c r="AO31" s="97" t="str">
        <f t="shared" si="1"/>
        <v>F</v>
      </c>
      <c r="AP31" s="39"/>
    </row>
    <row r="32" spans="1:42">
      <c r="A32" s="96" t="s">
        <v>136</v>
      </c>
      <c r="B32" s="96"/>
      <c r="C32" s="96"/>
      <c r="D32" s="96"/>
      <c r="E32" s="96"/>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t="s">
        <v>136</v>
      </c>
      <c r="AI32" s="97">
        <v>0</v>
      </c>
      <c r="AJ32" s="97"/>
      <c r="AK32" s="97"/>
      <c r="AL32" s="97"/>
      <c r="AM32" s="97"/>
      <c r="AN32" s="97"/>
      <c r="AO32" s="97"/>
      <c r="AP32" s="39"/>
    </row>
    <row r="33" spans="1:44" ht="15">
      <c r="A33" s="139" t="s">
        <v>59</v>
      </c>
      <c r="B33" s="140"/>
      <c r="C33" s="140"/>
      <c r="D33" s="140"/>
      <c r="E33" s="140"/>
      <c r="F33" s="140"/>
      <c r="G33" s="140"/>
      <c r="H33" s="140"/>
      <c r="I33" s="140"/>
      <c r="J33" s="140"/>
      <c r="K33" s="140"/>
      <c r="L33" s="140"/>
      <c r="M33" s="140"/>
      <c r="N33" s="140"/>
      <c r="O33" s="140"/>
      <c r="P33" s="140"/>
      <c r="Q33" s="140"/>
      <c r="R33" s="140"/>
      <c r="S33" s="140"/>
      <c r="T33" s="140"/>
      <c r="U33" s="140"/>
      <c r="V33" s="140"/>
      <c r="W33" s="140"/>
      <c r="X33" s="140"/>
      <c r="Y33" s="140"/>
      <c r="Z33" s="140"/>
      <c r="AA33" s="140"/>
      <c r="AB33" s="140"/>
      <c r="AC33" s="140"/>
      <c r="AD33" s="140"/>
      <c r="AE33" s="140"/>
      <c r="AF33" s="140"/>
      <c r="AG33" s="140"/>
      <c r="AH33" s="140"/>
      <c r="AI33" s="140"/>
      <c r="AJ33" s="140"/>
      <c r="AK33" s="140"/>
      <c r="AL33" s="140"/>
      <c r="AM33" s="140"/>
      <c r="AN33" s="140"/>
      <c r="AO33" s="141"/>
    </row>
    <row r="34" spans="1:44">
      <c r="A34" s="46">
        <v>7</v>
      </c>
      <c r="B34" s="183" t="s">
        <v>119</v>
      </c>
      <c r="C34" s="183"/>
      <c r="D34" s="183"/>
      <c r="E34" s="183"/>
      <c r="F34" s="183"/>
      <c r="G34" s="183"/>
      <c r="H34" s="184"/>
      <c r="I34" s="185"/>
      <c r="J34" s="185"/>
      <c r="K34" s="185"/>
      <c r="L34" s="185"/>
      <c r="M34" s="185"/>
      <c r="N34" s="185"/>
      <c r="O34" s="185"/>
      <c r="P34" s="185"/>
      <c r="Q34" s="185"/>
      <c r="R34" s="185"/>
      <c r="S34" s="185"/>
      <c r="T34" s="185"/>
      <c r="U34" s="185"/>
      <c r="V34" s="185"/>
      <c r="W34" s="185"/>
      <c r="X34" s="185"/>
      <c r="Y34" s="185"/>
      <c r="Z34" s="185"/>
      <c r="AA34" s="185"/>
      <c r="AB34" s="185"/>
      <c r="AC34" s="185"/>
      <c r="AD34" s="185"/>
      <c r="AE34" s="185"/>
      <c r="AF34" s="185"/>
      <c r="AG34" s="185"/>
      <c r="AH34" s="185"/>
      <c r="AI34" s="185"/>
      <c r="AJ34" s="185"/>
      <c r="AK34" s="185"/>
      <c r="AL34" s="185"/>
      <c r="AM34" s="185"/>
      <c r="AN34" s="185"/>
      <c r="AO34" s="186"/>
    </row>
    <row r="35" spans="1:44">
      <c r="A35" s="46">
        <v>8</v>
      </c>
      <c r="B35" s="183" t="s">
        <v>120</v>
      </c>
      <c r="C35" s="183"/>
      <c r="D35" s="183"/>
      <c r="E35" s="183"/>
      <c r="F35" s="183"/>
      <c r="G35" s="183"/>
      <c r="H35" s="184"/>
      <c r="I35" s="185"/>
      <c r="J35" s="185"/>
      <c r="K35" s="185"/>
      <c r="L35" s="185"/>
      <c r="M35" s="185"/>
      <c r="N35" s="185"/>
      <c r="O35" s="185"/>
      <c r="P35" s="185"/>
      <c r="Q35" s="185"/>
      <c r="R35" s="185"/>
      <c r="S35" s="185"/>
      <c r="T35" s="185"/>
      <c r="U35" s="185"/>
      <c r="V35" s="185"/>
      <c r="W35" s="185"/>
      <c r="X35" s="185"/>
      <c r="Y35" s="185"/>
      <c r="Z35" s="185"/>
      <c r="AA35" s="185"/>
      <c r="AB35" s="185"/>
      <c r="AC35" s="185"/>
      <c r="AD35" s="185"/>
      <c r="AE35" s="185"/>
      <c r="AF35" s="185"/>
      <c r="AG35" s="185"/>
      <c r="AH35" s="185"/>
      <c r="AI35" s="185"/>
      <c r="AJ35" s="185"/>
      <c r="AK35" s="185"/>
      <c r="AL35" s="185"/>
      <c r="AM35" s="185"/>
      <c r="AN35" s="185"/>
      <c r="AO35" s="186"/>
    </row>
    <row r="36" spans="1:44">
      <c r="A36" s="46">
        <v>9</v>
      </c>
      <c r="B36" s="183" t="s">
        <v>121</v>
      </c>
      <c r="C36" s="183"/>
      <c r="D36" s="183"/>
      <c r="E36" s="183"/>
      <c r="F36" s="183"/>
      <c r="G36" s="183"/>
      <c r="H36" s="184"/>
      <c r="I36" s="185"/>
      <c r="J36" s="185"/>
      <c r="K36" s="185"/>
      <c r="L36" s="185"/>
      <c r="M36" s="185"/>
      <c r="N36" s="185"/>
      <c r="O36" s="185"/>
      <c r="P36" s="185"/>
      <c r="Q36" s="185"/>
      <c r="R36" s="185"/>
      <c r="S36" s="185"/>
      <c r="T36" s="185"/>
      <c r="U36" s="185"/>
      <c r="V36" s="185"/>
      <c r="W36" s="185"/>
      <c r="X36" s="185"/>
      <c r="Y36" s="185"/>
      <c r="Z36" s="185"/>
      <c r="AA36" s="185"/>
      <c r="AB36" s="185"/>
      <c r="AC36" s="185"/>
      <c r="AD36" s="185"/>
      <c r="AE36" s="185"/>
      <c r="AF36" s="185"/>
      <c r="AG36" s="185"/>
      <c r="AH36" s="185"/>
      <c r="AI36" s="185"/>
      <c r="AJ36" s="185"/>
      <c r="AK36" s="185"/>
      <c r="AL36" s="185"/>
      <c r="AM36" s="185"/>
      <c r="AN36" s="185"/>
      <c r="AO36" s="186"/>
    </row>
    <row r="37" spans="1:44">
      <c r="A37" s="46">
        <v>10</v>
      </c>
      <c r="B37" s="183" t="s">
        <v>122</v>
      </c>
      <c r="C37" s="183"/>
      <c r="D37" s="183"/>
      <c r="E37" s="183"/>
      <c r="F37" s="183"/>
      <c r="G37" s="183"/>
      <c r="H37" s="184"/>
      <c r="I37" s="185"/>
      <c r="J37" s="185"/>
      <c r="K37" s="185"/>
      <c r="L37" s="185"/>
      <c r="M37" s="185"/>
      <c r="N37" s="185"/>
      <c r="O37" s="185"/>
      <c r="P37" s="185"/>
      <c r="Q37" s="185"/>
      <c r="R37" s="185"/>
      <c r="S37" s="185"/>
      <c r="T37" s="185"/>
      <c r="U37" s="185"/>
      <c r="V37" s="185"/>
      <c r="W37" s="185"/>
      <c r="X37" s="185"/>
      <c r="Y37" s="185"/>
      <c r="Z37" s="185"/>
      <c r="AA37" s="185"/>
      <c r="AB37" s="185"/>
      <c r="AC37" s="185"/>
      <c r="AD37" s="185"/>
      <c r="AE37" s="185"/>
      <c r="AF37" s="185"/>
      <c r="AG37" s="185"/>
      <c r="AH37" s="185"/>
      <c r="AI37" s="185"/>
      <c r="AJ37" s="185"/>
      <c r="AK37" s="185"/>
      <c r="AL37" s="185"/>
      <c r="AM37" s="185"/>
      <c r="AN37" s="185"/>
      <c r="AO37" s="186"/>
    </row>
    <row r="38" spans="1:44" s="38" customFormat="1">
      <c r="A38" s="46">
        <v>11</v>
      </c>
      <c r="B38" s="194" t="s">
        <v>123</v>
      </c>
      <c r="C38" s="194"/>
      <c r="D38" s="194"/>
      <c r="E38" s="194"/>
      <c r="F38" s="194"/>
      <c r="G38" s="194"/>
      <c r="H38" s="195"/>
      <c r="I38" s="196"/>
      <c r="J38" s="196"/>
      <c r="K38" s="196"/>
      <c r="L38" s="196"/>
      <c r="M38" s="196"/>
      <c r="N38" s="196"/>
      <c r="O38" s="196"/>
      <c r="P38" s="196"/>
      <c r="Q38" s="196"/>
      <c r="R38" s="196"/>
      <c r="S38" s="196"/>
      <c r="T38" s="196"/>
      <c r="U38" s="196"/>
      <c r="V38" s="196"/>
      <c r="W38" s="196"/>
      <c r="X38" s="196"/>
      <c r="Y38" s="196"/>
      <c r="Z38" s="196"/>
      <c r="AA38" s="196"/>
      <c r="AB38" s="196"/>
      <c r="AC38" s="196"/>
      <c r="AD38" s="196"/>
      <c r="AE38" s="196"/>
      <c r="AF38" s="196"/>
      <c r="AG38" s="196"/>
      <c r="AH38" s="196"/>
      <c r="AI38" s="196"/>
      <c r="AJ38" s="196"/>
      <c r="AK38" s="196"/>
      <c r="AL38" s="196"/>
      <c r="AM38" s="196"/>
      <c r="AN38" s="196"/>
      <c r="AO38" s="197"/>
    </row>
    <row r="39" spans="1:44" s="38" customFormat="1">
      <c r="A39" s="46">
        <v>12</v>
      </c>
      <c r="B39" s="194" t="s">
        <v>124</v>
      </c>
      <c r="C39" s="194"/>
      <c r="D39" s="194"/>
      <c r="E39" s="194"/>
      <c r="F39" s="194"/>
      <c r="G39" s="194"/>
      <c r="H39" s="195"/>
      <c r="I39" s="196"/>
      <c r="J39" s="196"/>
      <c r="K39" s="196"/>
      <c r="L39" s="196"/>
      <c r="M39" s="196"/>
      <c r="N39" s="196"/>
      <c r="O39" s="196"/>
      <c r="P39" s="196"/>
      <c r="Q39" s="196"/>
      <c r="R39" s="196"/>
      <c r="S39" s="196"/>
      <c r="T39" s="196"/>
      <c r="U39" s="196"/>
      <c r="V39" s="196"/>
      <c r="W39" s="196"/>
      <c r="X39" s="196"/>
      <c r="Y39" s="196"/>
      <c r="Z39" s="196"/>
      <c r="AA39" s="196"/>
      <c r="AB39" s="196"/>
      <c r="AC39" s="196"/>
      <c r="AD39" s="196"/>
      <c r="AE39" s="196"/>
      <c r="AF39" s="196"/>
      <c r="AG39" s="196"/>
      <c r="AH39" s="196"/>
      <c r="AI39" s="196"/>
      <c r="AJ39" s="196"/>
      <c r="AK39" s="196"/>
      <c r="AL39" s="196"/>
      <c r="AM39" s="196"/>
      <c r="AN39" s="196"/>
      <c r="AO39" s="197"/>
      <c r="AQ39" s="26"/>
      <c r="AR39" s="26"/>
    </row>
    <row r="40" spans="1:44" ht="78" customHeight="1">
      <c r="A40" s="46">
        <v>13</v>
      </c>
      <c r="B40" s="178" t="s">
        <v>125</v>
      </c>
      <c r="C40" s="179"/>
      <c r="D40" s="179"/>
      <c r="E40" s="179"/>
      <c r="F40" s="179"/>
      <c r="G40" s="180"/>
      <c r="H40" s="190"/>
      <c r="I40" s="179"/>
      <c r="J40" s="179"/>
      <c r="K40" s="179"/>
      <c r="L40" s="179"/>
      <c r="M40" s="179"/>
      <c r="N40" s="179"/>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80"/>
    </row>
  </sheetData>
  <mergeCells count="125">
    <mergeCell ref="AM17:AO17"/>
    <mergeCell ref="H17:P17"/>
    <mergeCell ref="Q17:AH17"/>
    <mergeCell ref="AI17:AL17"/>
    <mergeCell ref="H21:P21"/>
    <mergeCell ref="AM24:AO24"/>
    <mergeCell ref="B28:G28"/>
    <mergeCell ref="H28:P28"/>
    <mergeCell ref="Q28:AH28"/>
    <mergeCell ref="AM28:AO28"/>
    <mergeCell ref="H19:P19"/>
    <mergeCell ref="AM23:AO23"/>
    <mergeCell ref="B19:G19"/>
    <mergeCell ref="AM20:AO20"/>
    <mergeCell ref="H18:P18"/>
    <mergeCell ref="Q18:AH18"/>
    <mergeCell ref="AI18:AL18"/>
    <mergeCell ref="AM18:AO18"/>
    <mergeCell ref="B17:G18"/>
    <mergeCell ref="AI28:AL28"/>
    <mergeCell ref="AM27:AO27"/>
    <mergeCell ref="H26:P26"/>
    <mergeCell ref="Q26:AH26"/>
    <mergeCell ref="AI26:AL26"/>
    <mergeCell ref="AM26:AO26"/>
    <mergeCell ref="A20:A23"/>
    <mergeCell ref="H25:P25"/>
    <mergeCell ref="Q25:AH25"/>
    <mergeCell ref="AI25:AL25"/>
    <mergeCell ref="AI24:AL24"/>
    <mergeCell ref="H24:N24"/>
    <mergeCell ref="Q24:AH24"/>
    <mergeCell ref="B20:G23"/>
    <mergeCell ref="Q27:AH27"/>
    <mergeCell ref="AI27:AL27"/>
    <mergeCell ref="H22:N22"/>
    <mergeCell ref="Q22:AH22"/>
    <mergeCell ref="AI22:AL22"/>
    <mergeCell ref="B40:G40"/>
    <mergeCell ref="H27:P27"/>
    <mergeCell ref="AI21:AL21"/>
    <mergeCell ref="B35:G35"/>
    <mergeCell ref="H35:AO35"/>
    <mergeCell ref="B34:G34"/>
    <mergeCell ref="H34:AO34"/>
    <mergeCell ref="Q23:AH23"/>
    <mergeCell ref="A33:AO33"/>
    <mergeCell ref="A30:AH30"/>
    <mergeCell ref="A31:AH31"/>
    <mergeCell ref="AI31:AO31"/>
    <mergeCell ref="B37:G37"/>
    <mergeCell ref="H37:AO37"/>
    <mergeCell ref="AM25:AO25"/>
    <mergeCell ref="H40:AO40"/>
    <mergeCell ref="H36:AO36"/>
    <mergeCell ref="H23:P23"/>
    <mergeCell ref="B39:G39"/>
    <mergeCell ref="H39:AO39"/>
    <mergeCell ref="B38:G38"/>
    <mergeCell ref="H38:AO38"/>
    <mergeCell ref="B36:G36"/>
    <mergeCell ref="AI30:AO30"/>
    <mergeCell ref="A1:AO1"/>
    <mergeCell ref="A4:AO4"/>
    <mergeCell ref="B29:G29"/>
    <mergeCell ref="H29:P29"/>
    <mergeCell ref="Q29:AH29"/>
    <mergeCell ref="B12:G14"/>
    <mergeCell ref="A12:A14"/>
    <mergeCell ref="Q21:AH21"/>
    <mergeCell ref="B16:G16"/>
    <mergeCell ref="H16:P16"/>
    <mergeCell ref="Q16:AH16"/>
    <mergeCell ref="A15:AO15"/>
    <mergeCell ref="AG11:AO11"/>
    <mergeCell ref="A7:G7"/>
    <mergeCell ref="H7:P7"/>
    <mergeCell ref="Q7:Z7"/>
    <mergeCell ref="AA7:AO7"/>
    <mergeCell ref="H14:P14"/>
    <mergeCell ref="A6:G6"/>
    <mergeCell ref="Q12:AO12"/>
    <mergeCell ref="Q14:AO14"/>
    <mergeCell ref="A2:AO2"/>
    <mergeCell ref="AM16:AO16"/>
    <mergeCell ref="AI29:AL29"/>
    <mergeCell ref="A3:AO3"/>
    <mergeCell ref="A5:AO5"/>
    <mergeCell ref="AA10:AF10"/>
    <mergeCell ref="H6:P6"/>
    <mergeCell ref="A8:G9"/>
    <mergeCell ref="H8:P9"/>
    <mergeCell ref="Q8:Z9"/>
    <mergeCell ref="Q6:Z6"/>
    <mergeCell ref="A10:G11"/>
    <mergeCell ref="Q10:Z10"/>
    <mergeCell ref="H11:P11"/>
    <mergeCell ref="Q11:Z11"/>
    <mergeCell ref="AA11:AF11"/>
    <mergeCell ref="AG10:AO10"/>
    <mergeCell ref="H10:P10"/>
    <mergeCell ref="A17:A18"/>
    <mergeCell ref="A32:AH32"/>
    <mergeCell ref="AI32:AO32"/>
    <mergeCell ref="AA6:AO6"/>
    <mergeCell ref="AA8:AF8"/>
    <mergeCell ref="AA9:AF9"/>
    <mergeCell ref="AG8:AO8"/>
    <mergeCell ref="AG9:AO9"/>
    <mergeCell ref="H12:P12"/>
    <mergeCell ref="AI16:AL16"/>
    <mergeCell ref="Q19:AH19"/>
    <mergeCell ref="AI19:AL19"/>
    <mergeCell ref="AM21:AO21"/>
    <mergeCell ref="AI23:AL23"/>
    <mergeCell ref="AM22:AO22"/>
    <mergeCell ref="AM19:AO19"/>
    <mergeCell ref="H20:P20"/>
    <mergeCell ref="Q20:AH20"/>
    <mergeCell ref="AI20:AL20"/>
    <mergeCell ref="B24:G27"/>
    <mergeCell ref="A24:A27"/>
    <mergeCell ref="H13:N13"/>
    <mergeCell ref="Q13:AO13"/>
    <mergeCell ref="AM29:AO29"/>
  </mergeCells>
  <phoneticPr fontId="17"/>
  <conditionalFormatting sqref="H6:P9">
    <cfRule type="containsText" dxfId="31" priority="93" operator="containsText" text="0">
      <formula>NOT(ISERROR(SEARCH("0",H6)))</formula>
    </cfRule>
  </conditionalFormatting>
  <conditionalFormatting sqref="H6:P7">
    <cfRule type="cellIs" dxfId="30" priority="92" operator="equal">
      <formula>0</formula>
    </cfRule>
  </conditionalFormatting>
  <conditionalFormatting sqref="AG8:AO11">
    <cfRule type="cellIs" dxfId="29" priority="91" operator="equal">
      <formula>0</formula>
    </cfRule>
  </conditionalFormatting>
  <conditionalFormatting sqref="Q10:Z11">
    <cfRule type="cellIs" dxfId="28" priority="90" operator="equal">
      <formula>0</formula>
    </cfRule>
  </conditionalFormatting>
  <conditionalFormatting sqref="Q12:AO12 Q14:AO14 Q13">
    <cfRule type="cellIs" dxfId="27" priority="89" operator="equal">
      <formula>0</formula>
    </cfRule>
  </conditionalFormatting>
  <conditionalFormatting sqref="H12:P12 H13 O13:P13">
    <cfRule type="cellIs" dxfId="26" priority="88" operator="equal">
      <formula>"Công ty 1:"</formula>
    </cfRule>
  </conditionalFormatting>
  <conditionalFormatting sqref="H14:P14">
    <cfRule type="cellIs" dxfId="25" priority="87" operator="equal">
      <formula>"Công ty 2:"</formula>
    </cfRule>
  </conditionalFormatting>
  <conditionalFormatting sqref="AA6:AO7 AM19:AO19 Q21:AL24 AI28:AL29">
    <cfRule type="cellIs" dxfId="24" priority="86" operator="equal">
      <formula>0</formula>
    </cfRule>
  </conditionalFormatting>
  <conditionalFormatting sqref="H8:P9">
    <cfRule type="cellIs" dxfId="23" priority="84" operator="equal">
      <formula>0</formula>
    </cfRule>
    <cfRule type="cellIs" dxfId="22" priority="85" operator="equal">
      <formula>"0]"</formula>
    </cfRule>
  </conditionalFormatting>
  <conditionalFormatting sqref="Q17:AH17">
    <cfRule type="cellIs" dxfId="21" priority="83" operator="equal">
      <formula>0</formula>
    </cfRule>
  </conditionalFormatting>
  <conditionalFormatting sqref="Q29:AH29 AM29:AO29">
    <cfRule type="cellIs" dxfId="20" priority="82" operator="equal">
      <formula>0</formula>
    </cfRule>
  </conditionalFormatting>
  <conditionalFormatting sqref="H38:AO38">
    <cfRule type="cellIs" dxfId="19" priority="78" operator="equal">
      <formula>0</formula>
    </cfRule>
  </conditionalFormatting>
  <conditionalFormatting sqref="H39:AO39">
    <cfRule type="cellIs" dxfId="18" priority="80" operator="equal">
      <formula>0</formula>
    </cfRule>
  </conditionalFormatting>
  <conditionalFormatting sqref="H34:AO34">
    <cfRule type="cellIs" dxfId="17" priority="79" operator="equal">
      <formula>0</formula>
    </cfRule>
  </conditionalFormatting>
  <conditionalFormatting sqref="H35:AO35">
    <cfRule type="cellIs" dxfId="16" priority="76" operator="equal">
      <formula>0</formula>
    </cfRule>
  </conditionalFormatting>
  <conditionalFormatting sqref="H36:AO36">
    <cfRule type="cellIs" dxfId="15" priority="74" operator="equal">
      <formula>0</formula>
    </cfRule>
    <cfRule type="cellIs" dxfId="14" priority="75" operator="equal">
      <formula>0</formula>
    </cfRule>
  </conditionalFormatting>
  <conditionalFormatting sqref="H37:AO37">
    <cfRule type="cellIs" dxfId="13" priority="73" operator="equal">
      <formula>0</formula>
    </cfRule>
  </conditionalFormatting>
  <conditionalFormatting sqref="Q19:AL19">
    <cfRule type="cellIs" dxfId="12" priority="66" operator="equal">
      <formula>0</formula>
    </cfRule>
  </conditionalFormatting>
  <conditionalFormatting sqref="Q21:AH22 Q22:AI22">
    <cfRule type="cellIs" dxfId="11" priority="65" operator="equal">
      <formula>"'- Database Logical Design:  - Database Physical Design: - Database Control (DBA - DB Administration): - Database Access Optimization Techniques:"</formula>
    </cfRule>
  </conditionalFormatting>
  <conditionalFormatting sqref="Q25:AL27">
    <cfRule type="cellIs" dxfId="10" priority="62" operator="equal">
      <formula>0</formula>
    </cfRule>
  </conditionalFormatting>
  <conditionalFormatting sqref="AM28:AO28">
    <cfRule type="cellIs" dxfId="9" priority="58" operator="equal">
      <formula>0</formula>
    </cfRule>
    <cfRule type="cellIs" dxfId="8" priority="61" operator="equal">
      <formula>0</formula>
    </cfRule>
  </conditionalFormatting>
  <conditionalFormatting sqref="H40:AO40">
    <cfRule type="cellIs" dxfId="7" priority="57" operator="equal">
      <formula>0</formula>
    </cfRule>
  </conditionalFormatting>
  <conditionalFormatting sqref="Q20:AL20">
    <cfRule type="cellIs" dxfId="6" priority="56" operator="equal">
      <formula>0</formula>
    </cfRule>
  </conditionalFormatting>
  <conditionalFormatting sqref="Q28:AH28">
    <cfRule type="cellIs" dxfId="5" priority="17" operator="equal">
      <formula>0</formula>
    </cfRule>
  </conditionalFormatting>
  <conditionalFormatting sqref="Q28:AH28">
    <cfRule type="cellIs" dxfId="4" priority="16" operator="equal">
      <formula>"Listening"</formula>
    </cfRule>
  </conditionalFormatting>
  <conditionalFormatting sqref="AM17:AO17">
    <cfRule type="cellIs" dxfId="3" priority="14" operator="equal">
      <formula>0</formula>
    </cfRule>
  </conditionalFormatting>
  <conditionalFormatting sqref="Q18:AH18">
    <cfRule type="cellIs" dxfId="2" priority="12" operator="equal">
      <formula>0</formula>
    </cfRule>
  </conditionalFormatting>
  <conditionalFormatting sqref="AM18:AO18">
    <cfRule type="cellIs" dxfId="1" priority="10" operator="equal">
      <formula>0</formula>
    </cfRule>
  </conditionalFormatting>
  <conditionalFormatting sqref="AM20:AO27">
    <cfRule type="cellIs" dxfId="0" priority="1" operator="equal">
      <formula>0</formula>
    </cfRule>
  </conditionalFormatting>
  <dataValidations count="13">
    <dataValidation type="list" allowBlank="1" showInputMessage="1" showErrorMessage="1" sqref="H7:P7">
      <formula1>"Please select job level,Fresher, Junior, Experience, senior"</formula1>
    </dataValidation>
    <dataValidation type="list" allowBlank="1" showInputMessage="1" sqref="H6:P6">
      <formula1>"Please select Applied Position, SA, Dev, Test, QA, Comtor,PM,BA, Admin, Other"</formula1>
    </dataValidation>
    <dataValidation type="list" allowBlank="1" showInputMessage="1" sqref="H25:P26">
      <formula1>"Presentation skill, Communication skill, Negotiate skill, Problem solving skill, Attitude, Work under presure"</formula1>
    </dataValidation>
    <dataValidation type="list" allowBlank="1" showInputMessage="1" sqref="H28:P28">
      <formula1>"English, Japanese, Korean, French, German, Chinese"</formula1>
    </dataValidation>
    <dataValidation type="list" allowBlank="1" showInputMessage="1" sqref="Q29:AH29">
      <formula1>"Level 1, Level2, Level 3, Level 4"</formula1>
    </dataValidation>
    <dataValidation type="list" allowBlank="1" showInputMessage="1" sqref="AG10">
      <formula1>"Please select graduated rank, Excellent, Very Good, Good, Bad"</formula1>
    </dataValidation>
    <dataValidation type="list" allowBlank="1" showInputMessage="1" sqref="H29:P29 I20:P20 H19:H23">
      <formula1>#REF!</formula1>
    </dataValidation>
    <dataValidation type="list" allowBlank="1" showInputMessage="1" showErrorMessage="1" sqref="AM29:AO29">
      <formula1>"Đạt giải/Có chứng chỉ quốc tế, Tham gia, Không có gì"</formula1>
    </dataValidation>
    <dataValidation type="list" allowBlank="1" showInputMessage="1" showErrorMessage="1" sqref="AM28:AO28">
      <formula1>"Xuất Sắc, Giỏi, Khá, TB"</formula1>
    </dataValidation>
    <dataValidation type="list" allowBlank="1" showInputMessage="1" showErrorMessage="1" sqref="AI32:AO32">
      <formula1>"0, 0.2, 0.4, 0.6, 0.8, 1"</formula1>
    </dataValidation>
    <dataValidation type="list" allowBlank="1" showInputMessage="1" showErrorMessage="1" sqref="AM17:AO17">
      <formula1>"Top1, Top2, Others"</formula1>
    </dataValidation>
    <dataValidation type="list" allowBlank="1" showInputMessage="1" showErrorMessage="1" sqref="AM18:AO18">
      <formula1>"Xuất sắc, Giỏi, Khá, TB"</formula1>
    </dataValidation>
    <dataValidation type="list" allowBlank="1" showInputMessage="1" showErrorMessage="1" sqref="AM19:AO27">
      <formula1>"5,4,3,2,1"</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7"/>
  <sheetViews>
    <sheetView zoomScale="159" zoomScaleNormal="98" workbookViewId="0">
      <selection activeCell="B14" sqref="B14"/>
    </sheetView>
  </sheetViews>
  <sheetFormatPr defaultColWidth="8.81640625" defaultRowHeight="14.5"/>
  <cols>
    <col min="2" max="2" width="11.6328125" customWidth="1"/>
    <col min="3" max="3" width="19.81640625" customWidth="1"/>
    <col min="5" max="5" width="18.81640625" customWidth="1"/>
  </cols>
  <sheetData>
    <row r="1" spans="1:8" s="25" customFormat="1">
      <c r="A1" s="41" t="s">
        <v>147</v>
      </c>
      <c r="B1" s="41"/>
      <c r="C1" s="40" t="s">
        <v>116</v>
      </c>
      <c r="D1" s="40"/>
      <c r="E1" s="42" t="s">
        <v>128</v>
      </c>
      <c r="F1" s="42"/>
      <c r="G1" s="61" t="s">
        <v>138</v>
      </c>
      <c r="H1" s="61"/>
    </row>
    <row r="2" spans="1:8" s="25" customFormat="1">
      <c r="A2" s="41" t="s">
        <v>141</v>
      </c>
      <c r="B2" s="41">
        <v>5</v>
      </c>
      <c r="C2" s="40" t="s">
        <v>145</v>
      </c>
      <c r="D2" s="40">
        <v>5</v>
      </c>
      <c r="E2" s="43" t="s">
        <v>152</v>
      </c>
      <c r="F2" s="43" t="s">
        <v>137</v>
      </c>
      <c r="G2" s="61" t="s">
        <v>157</v>
      </c>
      <c r="H2" s="61">
        <v>5</v>
      </c>
    </row>
    <row r="3" spans="1:8">
      <c r="A3" s="41" t="s">
        <v>143</v>
      </c>
      <c r="B3" s="41">
        <v>4</v>
      </c>
      <c r="C3" s="40" t="s">
        <v>149</v>
      </c>
      <c r="D3" s="40">
        <v>4</v>
      </c>
      <c r="E3" s="43" t="s">
        <v>153</v>
      </c>
      <c r="F3" s="43" t="s">
        <v>126</v>
      </c>
      <c r="G3" s="61" t="s">
        <v>158</v>
      </c>
      <c r="H3" s="61">
        <v>3.5</v>
      </c>
    </row>
    <row r="4" spans="1:8">
      <c r="A4" s="41" t="s">
        <v>146</v>
      </c>
      <c r="B4" s="41">
        <v>3</v>
      </c>
      <c r="C4" s="40" t="s">
        <v>150</v>
      </c>
      <c r="D4" s="40">
        <v>0</v>
      </c>
      <c r="E4" s="43" t="s">
        <v>154</v>
      </c>
      <c r="F4" s="43" t="s">
        <v>127</v>
      </c>
      <c r="G4" s="61" t="s">
        <v>151</v>
      </c>
      <c r="H4" s="61">
        <v>2.5</v>
      </c>
    </row>
    <row r="5" spans="1:8">
      <c r="A5" s="41" t="s">
        <v>148</v>
      </c>
      <c r="B5" s="41">
        <v>2</v>
      </c>
      <c r="C5" s="40"/>
      <c r="D5" s="40"/>
      <c r="E5" s="43"/>
      <c r="F5" s="43"/>
      <c r="G5" s="61"/>
      <c r="H5" s="61"/>
    </row>
    <row r="6" spans="1:8">
      <c r="A6" s="41"/>
      <c r="B6" s="41"/>
      <c r="C6" s="40"/>
      <c r="D6" s="40"/>
      <c r="E6" s="44"/>
      <c r="F6" s="44"/>
      <c r="G6" s="61"/>
      <c r="H6" s="61"/>
    </row>
    <row r="7" spans="1:8">
      <c r="A7" s="41"/>
      <c r="B7" s="41"/>
      <c r="C7" s="40"/>
      <c r="D7" s="40"/>
      <c r="E7" s="43"/>
      <c r="F7" s="43"/>
      <c r="G7" s="61"/>
      <c r="H7" s="61"/>
    </row>
  </sheetData>
  <phoneticPr fontId="17"/>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Senior</vt:lpstr>
      <vt:lpstr>Guideline</vt:lpstr>
      <vt:lpstr>InterviewCheckList</vt:lpstr>
      <vt:lpstr>Reference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2020-03-11T08:34:03Z</dcterms:modified>
  <cp:category/>
  <cp:contentStatus/>
</cp:coreProperties>
</file>